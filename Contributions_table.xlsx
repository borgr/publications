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lc/Library/CloudStorage/Box-Box/backup/Fusionmisc/Job/"/>
    </mc:Choice>
  </mc:AlternateContent>
  <xr:revisionPtr revIDLastSave="0" documentId="13_ncr:1_{01AEC0DB-57F0-5342-B4BD-939AC2B095C8}" xr6:coauthVersionLast="47" xr6:coauthVersionMax="47" xr10:uidLastSave="{00000000-0000-0000-0000-000000000000}"/>
  <bookViews>
    <workbookView xWindow="0" yWindow="760" windowWidth="34560" windowHeight="19920" xr2:uid="{5AA491FB-7947-2140-ACD9-201A623594D0}"/>
  </bookViews>
  <sheets>
    <sheet name="Sheet1" sheetId="1" r:id="rId1"/>
    <sheet name="Commulative" sheetId="2" r:id="rId2"/>
    <sheet name="Normalized" sheetId="3" r:id="rId3"/>
  </sheets>
  <definedNames>
    <definedName name="_xlnm._FilterDatabase" localSheetId="0" hidden="1">Sheet1!$A$1:$AH$78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2" i="1" l="1"/>
  <c r="AB79" i="1"/>
  <c r="AB82" i="1"/>
  <c r="V82" i="1"/>
  <c r="S82" i="1"/>
  <c r="AC79" i="1"/>
  <c r="AC82" i="1"/>
  <c r="N82" i="1"/>
  <c r="G82" i="1"/>
  <c r="AH78" i="1"/>
  <c r="AH76" i="1"/>
  <c r="AH75" i="1"/>
  <c r="AH74" i="1"/>
  <c r="AH73" i="1"/>
  <c r="AH72" i="1"/>
  <c r="AH69" i="1"/>
  <c r="AH66" i="1"/>
  <c r="AH65" i="1"/>
  <c r="AH64" i="1"/>
  <c r="AH63" i="1"/>
  <c r="AH61" i="1"/>
  <c r="AH60" i="1"/>
  <c r="AH59" i="1"/>
  <c r="AH58" i="1"/>
  <c r="AH57" i="1"/>
  <c r="AH56" i="1"/>
  <c r="AH54" i="1"/>
  <c r="AH53" i="1"/>
  <c r="AH52" i="1"/>
  <c r="AH51" i="1"/>
  <c r="AH50" i="1"/>
  <c r="AH49" i="1"/>
  <c r="AH48" i="1"/>
  <c r="AH47" i="1"/>
  <c r="AH46" i="1"/>
  <c r="AH45" i="1"/>
  <c r="AH44" i="1"/>
  <c r="AH43" i="1"/>
  <c r="AH40" i="1"/>
  <c r="AH37" i="1"/>
  <c r="AH35" i="1"/>
  <c r="AH33" i="1"/>
  <c r="AH32" i="1"/>
  <c r="AH31" i="1"/>
  <c r="AH30" i="1"/>
  <c r="AH29" i="1"/>
  <c r="AH28" i="1"/>
  <c r="AH27" i="1"/>
  <c r="AH26" i="1"/>
  <c r="AH25" i="1"/>
  <c r="AH23" i="1"/>
  <c r="AH22" i="1"/>
  <c r="AH21" i="1"/>
  <c r="AH20" i="1"/>
  <c r="AH19" i="1"/>
  <c r="AH17" i="1"/>
  <c r="AH16" i="1"/>
  <c r="AH15" i="1"/>
  <c r="AH14" i="1"/>
  <c r="AH13" i="1"/>
  <c r="AH11" i="1"/>
  <c r="AH9" i="1"/>
  <c r="AH7" i="1"/>
  <c r="AH6" i="1"/>
  <c r="AH5" i="1"/>
  <c r="AH3" i="1"/>
  <c r="AH2" i="1"/>
  <c r="H82" i="1"/>
  <c r="I82" i="1"/>
  <c r="J82" i="1"/>
  <c r="K82" i="1"/>
  <c r="L82" i="1"/>
  <c r="M82" i="1"/>
  <c r="AB74" i="1"/>
  <c r="AC74" i="1"/>
  <c r="AB73" i="1"/>
  <c r="AC73" i="1"/>
  <c r="AC14" i="1"/>
  <c r="AD14" i="1" s="1"/>
  <c r="AC15" i="1"/>
  <c r="AD15" i="1" s="1"/>
  <c r="AC16" i="1"/>
  <c r="AD16" i="1" s="1"/>
  <c r="AC17" i="1"/>
  <c r="AD17" i="1" s="1"/>
  <c r="AC18" i="1"/>
  <c r="AD18" i="1" s="1"/>
  <c r="AC19" i="1"/>
  <c r="AD19" i="1" s="1"/>
  <c r="AC20" i="1"/>
  <c r="AD20" i="1" s="1"/>
  <c r="AC21" i="1"/>
  <c r="AD21" i="1" s="1"/>
  <c r="AC22" i="1"/>
  <c r="AD22" i="1" s="1"/>
  <c r="AC23" i="1"/>
  <c r="AD23" i="1" s="1"/>
  <c r="AC24" i="1"/>
  <c r="AD24" i="1" s="1"/>
  <c r="AC25" i="1"/>
  <c r="AD25" i="1" s="1"/>
  <c r="AC26" i="1"/>
  <c r="AD26" i="1" s="1"/>
  <c r="AC27" i="1"/>
  <c r="AD27" i="1" s="1"/>
  <c r="AC28" i="1"/>
  <c r="AD28" i="1" s="1"/>
  <c r="AC29" i="1"/>
  <c r="AD29" i="1" s="1"/>
  <c r="AC30" i="1"/>
  <c r="AD30" i="1" s="1"/>
  <c r="AC31" i="1"/>
  <c r="AD31" i="1" s="1"/>
  <c r="AC32" i="1"/>
  <c r="AD32" i="1" s="1"/>
  <c r="AC33" i="1"/>
  <c r="AD33" i="1" s="1"/>
  <c r="AC34" i="1"/>
  <c r="AD34" i="1" s="1"/>
  <c r="AC35" i="1"/>
  <c r="AD35" i="1" s="1"/>
  <c r="AC36" i="1"/>
  <c r="AD36" i="1" s="1"/>
  <c r="AC37" i="1"/>
  <c r="AD37" i="1" s="1"/>
  <c r="AC38" i="1"/>
  <c r="AD38" i="1" s="1"/>
  <c r="AC39" i="1"/>
  <c r="AD39" i="1" s="1"/>
  <c r="AC40" i="1"/>
  <c r="AD40" i="1" s="1"/>
  <c r="AC41" i="1"/>
  <c r="AD41" i="1" s="1"/>
  <c r="AC42" i="1"/>
  <c r="AD42" i="1" s="1"/>
  <c r="AC43" i="1"/>
  <c r="AD43" i="1" s="1"/>
  <c r="AC44" i="1"/>
  <c r="AD44" i="1" s="1"/>
  <c r="AC45" i="1"/>
  <c r="AD45" i="1" s="1"/>
  <c r="AC46" i="1"/>
  <c r="AD46" i="1" s="1"/>
  <c r="AC47" i="1"/>
  <c r="AD47" i="1" s="1"/>
  <c r="AC48" i="1"/>
  <c r="AD48" i="1" s="1"/>
  <c r="AC49" i="1"/>
  <c r="AD49" i="1" s="1"/>
  <c r="AC50" i="1"/>
  <c r="AD50" i="1" s="1"/>
  <c r="AC51" i="1"/>
  <c r="AD51" i="1" s="1"/>
  <c r="AC52" i="1"/>
  <c r="AD52" i="1" s="1"/>
  <c r="AC53" i="1"/>
  <c r="AD53" i="1" s="1"/>
  <c r="AC54" i="1"/>
  <c r="AD54" i="1" s="1"/>
  <c r="AC55" i="1"/>
  <c r="AD55" i="1" s="1"/>
  <c r="AC56" i="1"/>
  <c r="AD56" i="1" s="1"/>
  <c r="AC57" i="1"/>
  <c r="AD57" i="1" s="1"/>
  <c r="AC58" i="1"/>
  <c r="AD58" i="1" s="1"/>
  <c r="AC59" i="1"/>
  <c r="AD59" i="1" s="1"/>
  <c r="AC60" i="1"/>
  <c r="AD60" i="1" s="1"/>
  <c r="AC61" i="1"/>
  <c r="AD61" i="1" s="1"/>
  <c r="AC62" i="1"/>
  <c r="AD62" i="1" s="1"/>
  <c r="AC63" i="1"/>
  <c r="AD63" i="1" s="1"/>
  <c r="AC64" i="1"/>
  <c r="AD64" i="1" s="1"/>
  <c r="AC65" i="1"/>
  <c r="AD65" i="1" s="1"/>
  <c r="AC66" i="1"/>
  <c r="AD66" i="1" s="1"/>
  <c r="AC67" i="1"/>
  <c r="AD67" i="1" s="1"/>
  <c r="AC68" i="1"/>
  <c r="AD68" i="1" s="1"/>
  <c r="AC69" i="1"/>
  <c r="AD69" i="1" s="1"/>
  <c r="AC70" i="1"/>
  <c r="AD70" i="1" s="1"/>
  <c r="AC71" i="1"/>
  <c r="AD71" i="1" s="1"/>
  <c r="AC72" i="1"/>
  <c r="AD72" i="1" s="1"/>
  <c r="AC76" i="1"/>
  <c r="AD76" i="1" s="1"/>
  <c r="AC77" i="1"/>
  <c r="AD77" i="1" s="1"/>
  <c r="AC78" i="1"/>
  <c r="AD78" i="1" s="1"/>
  <c r="AC3" i="1"/>
  <c r="AD3" i="1" s="1"/>
  <c r="AC4" i="1"/>
  <c r="AD4" i="1" s="1"/>
  <c r="AC5" i="1"/>
  <c r="AD5" i="1" s="1"/>
  <c r="AC6" i="1"/>
  <c r="AD6" i="1" s="1"/>
  <c r="AC7" i="1"/>
  <c r="AD7" i="1" s="1"/>
  <c r="AC8" i="1"/>
  <c r="AD8" i="1" s="1"/>
  <c r="AC9" i="1"/>
  <c r="AD9" i="1" s="1"/>
  <c r="AC10" i="1"/>
  <c r="AD10" i="1" s="1"/>
  <c r="AC11" i="1"/>
  <c r="AD11" i="1" s="1"/>
  <c r="AC12" i="1"/>
  <c r="AD12" i="1" s="1"/>
  <c r="AC13" i="1"/>
  <c r="AD13" i="1" s="1"/>
  <c r="AC2" i="1"/>
  <c r="AD2" i="1" s="1"/>
  <c r="AB41" i="1"/>
  <c r="AG41" i="1" s="1"/>
  <c r="AE41" i="1"/>
  <c r="AF41" i="1"/>
  <c r="AB42" i="1"/>
  <c r="AG42" i="1" s="1"/>
  <c r="AE42" i="1"/>
  <c r="AF42" i="1"/>
  <c r="AB43" i="1"/>
  <c r="AG43" i="1" s="1"/>
  <c r="AE43" i="1"/>
  <c r="AF43" i="1"/>
  <c r="AB44" i="1"/>
  <c r="AG44" i="1" s="1"/>
  <c r="AE44" i="1"/>
  <c r="AF44" i="1"/>
  <c r="AB45" i="1"/>
  <c r="AG45" i="1" s="1"/>
  <c r="AE45" i="1"/>
  <c r="AF45" i="1"/>
  <c r="AB46" i="1"/>
  <c r="AG46" i="1" s="1"/>
  <c r="AE46" i="1"/>
  <c r="AF46" i="1"/>
  <c r="AB47" i="1"/>
  <c r="AG47" i="1" s="1"/>
  <c r="AE47" i="1"/>
  <c r="AF47" i="1"/>
  <c r="AB48" i="1"/>
  <c r="AG48" i="1" s="1"/>
  <c r="AE48" i="1"/>
  <c r="AF48" i="1"/>
  <c r="AB49" i="1"/>
  <c r="AG49" i="1" s="1"/>
  <c r="AE49" i="1"/>
  <c r="AF49" i="1"/>
  <c r="AB50" i="1"/>
  <c r="AG50" i="1" s="1"/>
  <c r="AE50" i="1"/>
  <c r="AF50" i="1"/>
  <c r="AB51" i="1"/>
  <c r="AG51" i="1" s="1"/>
  <c r="AE51" i="1"/>
  <c r="AF51" i="1"/>
  <c r="AB52" i="1"/>
  <c r="AG52" i="1" s="1"/>
  <c r="AE52" i="1"/>
  <c r="AF52" i="1"/>
  <c r="AB53" i="1"/>
  <c r="AG53" i="1" s="1"/>
  <c r="AE53" i="1"/>
  <c r="AF53" i="1"/>
  <c r="AB54" i="1"/>
  <c r="AG54" i="1" s="1"/>
  <c r="AE54" i="1"/>
  <c r="AF54" i="1"/>
  <c r="AB55" i="1"/>
  <c r="AG55" i="1" s="1"/>
  <c r="AE55" i="1"/>
  <c r="AF55" i="1"/>
  <c r="AB56" i="1"/>
  <c r="AG56" i="1" s="1"/>
  <c r="AE56" i="1"/>
  <c r="AF56" i="1"/>
  <c r="AB57" i="1"/>
  <c r="AG57" i="1" s="1"/>
  <c r="AE57" i="1"/>
  <c r="AF57" i="1"/>
  <c r="AB58" i="1"/>
  <c r="AG58" i="1" s="1"/>
  <c r="AE58" i="1"/>
  <c r="AF58" i="1"/>
  <c r="AB59" i="1"/>
  <c r="AG59" i="1" s="1"/>
  <c r="AE59" i="1"/>
  <c r="AF59" i="1"/>
  <c r="AB60" i="1"/>
  <c r="AG60" i="1" s="1"/>
  <c r="AE60" i="1"/>
  <c r="AF60" i="1"/>
  <c r="AB61" i="1"/>
  <c r="AG61" i="1" s="1"/>
  <c r="AE61" i="1"/>
  <c r="AF61" i="1"/>
  <c r="AB62" i="1"/>
  <c r="AG62" i="1" s="1"/>
  <c r="AE62" i="1"/>
  <c r="AF62" i="1"/>
  <c r="AB63" i="1"/>
  <c r="AG63" i="1" s="1"/>
  <c r="AE63" i="1"/>
  <c r="AF63" i="1"/>
  <c r="AB64" i="1"/>
  <c r="AG64" i="1" s="1"/>
  <c r="AE64" i="1"/>
  <c r="AF64" i="1"/>
  <c r="AB65" i="1"/>
  <c r="AG65" i="1" s="1"/>
  <c r="AE65" i="1"/>
  <c r="AF65" i="1"/>
  <c r="AB66" i="1"/>
  <c r="AG66" i="1" s="1"/>
  <c r="AE66" i="1"/>
  <c r="AF66" i="1"/>
  <c r="AB67" i="1"/>
  <c r="AG67" i="1" s="1"/>
  <c r="AE67" i="1"/>
  <c r="AF67" i="1"/>
  <c r="AB68" i="1"/>
  <c r="AG68" i="1" s="1"/>
  <c r="AE68" i="1"/>
  <c r="AF68" i="1"/>
  <c r="AB69" i="1"/>
  <c r="AG69" i="1" s="1"/>
  <c r="AE69" i="1"/>
  <c r="AF69" i="1"/>
  <c r="AB70" i="1"/>
  <c r="AG70" i="1" s="1"/>
  <c r="AE70" i="1"/>
  <c r="AF70" i="1"/>
  <c r="AB71" i="1"/>
  <c r="AG71" i="1" s="1"/>
  <c r="AE71" i="1"/>
  <c r="AF71" i="1"/>
  <c r="AB72" i="1"/>
  <c r="AG72" i="1" s="1"/>
  <c r="AE72" i="1"/>
  <c r="AF72" i="1"/>
  <c r="AB76" i="1"/>
  <c r="AG76" i="1" s="1"/>
  <c r="AE76" i="1"/>
  <c r="AF76" i="1"/>
  <c r="AB77" i="1"/>
  <c r="AG77" i="1" s="1"/>
  <c r="AE77" i="1"/>
  <c r="AF77" i="1"/>
  <c r="AB78" i="1"/>
  <c r="AG78" i="1" s="1"/>
  <c r="AE78" i="1"/>
  <c r="AF78" i="1"/>
  <c r="AA83" i="1"/>
  <c r="AF37" i="1"/>
  <c r="AE37" i="1"/>
  <c r="AB37" i="1"/>
  <c r="A72" i="3"/>
  <c r="B72" i="3"/>
  <c r="C72" i="3"/>
  <c r="D72" i="3"/>
  <c r="E72" i="3"/>
  <c r="A3" i="3"/>
  <c r="B3" i="3"/>
  <c r="C3" i="3"/>
  <c r="D3" i="3"/>
  <c r="E3" i="3"/>
  <c r="A4" i="3"/>
  <c r="B4" i="3"/>
  <c r="C4" i="3"/>
  <c r="D4" i="3"/>
  <c r="E4" i="3"/>
  <c r="A5" i="3"/>
  <c r="B5" i="3"/>
  <c r="C5" i="3"/>
  <c r="D5" i="3"/>
  <c r="E5" i="3"/>
  <c r="A6" i="3"/>
  <c r="B6" i="3"/>
  <c r="C6" i="3"/>
  <c r="D6" i="3"/>
  <c r="E6" i="3"/>
  <c r="A7" i="3"/>
  <c r="B7" i="3"/>
  <c r="C7" i="3"/>
  <c r="D7" i="3"/>
  <c r="E7" i="3"/>
  <c r="A8" i="3"/>
  <c r="B8" i="3"/>
  <c r="C8" i="3"/>
  <c r="D8" i="3"/>
  <c r="E8" i="3"/>
  <c r="A9" i="3"/>
  <c r="B9" i="3"/>
  <c r="C9" i="3"/>
  <c r="D9" i="3"/>
  <c r="E9" i="3"/>
  <c r="A10" i="3"/>
  <c r="B10" i="3"/>
  <c r="C10" i="3"/>
  <c r="D10" i="3"/>
  <c r="E10" i="3"/>
  <c r="A11" i="3"/>
  <c r="B11" i="3"/>
  <c r="C11" i="3"/>
  <c r="D11" i="3"/>
  <c r="E11" i="3"/>
  <c r="A12" i="3"/>
  <c r="B12" i="3"/>
  <c r="C12" i="3"/>
  <c r="D12" i="3"/>
  <c r="E12" i="3"/>
  <c r="A13" i="3"/>
  <c r="B13" i="3"/>
  <c r="C13" i="3"/>
  <c r="D13" i="3"/>
  <c r="E13" i="3"/>
  <c r="A14" i="3"/>
  <c r="B14" i="3"/>
  <c r="C14" i="3"/>
  <c r="D14" i="3"/>
  <c r="E14" i="3"/>
  <c r="A15" i="3"/>
  <c r="B15" i="3"/>
  <c r="C15" i="3"/>
  <c r="D15" i="3"/>
  <c r="E15" i="3"/>
  <c r="A16" i="3"/>
  <c r="B16" i="3"/>
  <c r="C16" i="3"/>
  <c r="D16" i="3"/>
  <c r="E16" i="3"/>
  <c r="A17" i="3"/>
  <c r="B17" i="3"/>
  <c r="C17" i="3"/>
  <c r="D17" i="3"/>
  <c r="E17" i="3"/>
  <c r="A18" i="3"/>
  <c r="B18" i="3"/>
  <c r="C18" i="3"/>
  <c r="D18" i="3"/>
  <c r="E18" i="3"/>
  <c r="A19" i="3"/>
  <c r="B19" i="3"/>
  <c r="C19" i="3"/>
  <c r="D19" i="3"/>
  <c r="E19" i="3"/>
  <c r="A20" i="3"/>
  <c r="B20" i="3"/>
  <c r="C20" i="3"/>
  <c r="D20" i="3"/>
  <c r="E20" i="3"/>
  <c r="A21" i="3"/>
  <c r="B21" i="3"/>
  <c r="C21" i="3"/>
  <c r="D21" i="3"/>
  <c r="E21" i="3"/>
  <c r="A22" i="3"/>
  <c r="B22" i="3"/>
  <c r="C22" i="3"/>
  <c r="D22" i="3"/>
  <c r="E22" i="3"/>
  <c r="A23" i="3"/>
  <c r="B23" i="3"/>
  <c r="C23" i="3"/>
  <c r="D23" i="3"/>
  <c r="E23" i="3"/>
  <c r="A24" i="3"/>
  <c r="B24" i="3"/>
  <c r="C24" i="3"/>
  <c r="D24" i="3"/>
  <c r="E24" i="3"/>
  <c r="A25" i="3"/>
  <c r="B25" i="3"/>
  <c r="C25" i="3"/>
  <c r="D25" i="3"/>
  <c r="E25" i="3"/>
  <c r="A26" i="3"/>
  <c r="B26" i="3"/>
  <c r="C26" i="3"/>
  <c r="D26" i="3"/>
  <c r="E26" i="3"/>
  <c r="A27" i="3"/>
  <c r="B27" i="3"/>
  <c r="C27" i="3"/>
  <c r="D27" i="3"/>
  <c r="E27" i="3"/>
  <c r="A28" i="3"/>
  <c r="B28" i="3"/>
  <c r="C28" i="3"/>
  <c r="D28" i="3"/>
  <c r="E28" i="3"/>
  <c r="A29" i="3"/>
  <c r="B29" i="3"/>
  <c r="C29" i="3"/>
  <c r="D29" i="3"/>
  <c r="E29" i="3"/>
  <c r="A30" i="3"/>
  <c r="B30" i="3"/>
  <c r="C30" i="3"/>
  <c r="D30" i="3"/>
  <c r="E30" i="3"/>
  <c r="A31" i="3"/>
  <c r="B31" i="3"/>
  <c r="C31" i="3"/>
  <c r="D31" i="3"/>
  <c r="E31" i="3"/>
  <c r="A32" i="3"/>
  <c r="B32" i="3"/>
  <c r="C32" i="3"/>
  <c r="D32" i="3"/>
  <c r="E32" i="3"/>
  <c r="A33" i="3"/>
  <c r="B33" i="3"/>
  <c r="C33" i="3"/>
  <c r="D33" i="3"/>
  <c r="E33" i="3"/>
  <c r="A34" i="3"/>
  <c r="B34" i="3"/>
  <c r="C34" i="3"/>
  <c r="D34" i="3"/>
  <c r="E34" i="3"/>
  <c r="A35" i="3"/>
  <c r="B35" i="3"/>
  <c r="C35" i="3"/>
  <c r="D35" i="3"/>
  <c r="E35" i="3"/>
  <c r="A36" i="3"/>
  <c r="B36" i="3"/>
  <c r="C36" i="3"/>
  <c r="D36" i="3"/>
  <c r="E36" i="3"/>
  <c r="A37" i="3"/>
  <c r="B37" i="3"/>
  <c r="C37" i="3"/>
  <c r="D37" i="3"/>
  <c r="E37" i="3"/>
  <c r="A38" i="3"/>
  <c r="B38" i="3"/>
  <c r="C38" i="3"/>
  <c r="D38" i="3"/>
  <c r="E38" i="3"/>
  <c r="A39" i="3"/>
  <c r="B39" i="3"/>
  <c r="C39" i="3"/>
  <c r="D39" i="3"/>
  <c r="E39" i="3"/>
  <c r="A40" i="3"/>
  <c r="B40" i="3"/>
  <c r="C40" i="3"/>
  <c r="D40" i="3"/>
  <c r="E40" i="3"/>
  <c r="A41" i="3"/>
  <c r="B41" i="3"/>
  <c r="C41" i="3"/>
  <c r="D41" i="3"/>
  <c r="E41" i="3"/>
  <c r="A42" i="3"/>
  <c r="B42" i="3"/>
  <c r="C42" i="3"/>
  <c r="D42" i="3"/>
  <c r="E42" i="3"/>
  <c r="A43" i="3"/>
  <c r="B43" i="3"/>
  <c r="C43" i="3"/>
  <c r="D43" i="3"/>
  <c r="E43" i="3"/>
  <c r="A44" i="3"/>
  <c r="B44" i="3"/>
  <c r="C44" i="3"/>
  <c r="D44" i="3"/>
  <c r="E44" i="3"/>
  <c r="A45" i="3"/>
  <c r="B45" i="3"/>
  <c r="C45" i="3"/>
  <c r="D45" i="3"/>
  <c r="E45" i="3"/>
  <c r="A46" i="3"/>
  <c r="B46" i="3"/>
  <c r="C46" i="3"/>
  <c r="D46" i="3"/>
  <c r="E46" i="3"/>
  <c r="A47" i="3"/>
  <c r="B47" i="3"/>
  <c r="C47" i="3"/>
  <c r="D47" i="3"/>
  <c r="E47" i="3"/>
  <c r="A48" i="3"/>
  <c r="B48" i="3"/>
  <c r="C48" i="3"/>
  <c r="D48" i="3"/>
  <c r="E48" i="3"/>
  <c r="A49" i="3"/>
  <c r="B49" i="3"/>
  <c r="C49" i="3"/>
  <c r="D49" i="3"/>
  <c r="E49" i="3"/>
  <c r="A50" i="3"/>
  <c r="B50" i="3"/>
  <c r="C50" i="3"/>
  <c r="D50" i="3"/>
  <c r="E50" i="3"/>
  <c r="A51" i="3"/>
  <c r="B51" i="3"/>
  <c r="C51" i="3"/>
  <c r="D51" i="3"/>
  <c r="E51" i="3"/>
  <c r="A52" i="3"/>
  <c r="B52" i="3"/>
  <c r="C52" i="3"/>
  <c r="D52" i="3"/>
  <c r="E52" i="3"/>
  <c r="A53" i="3"/>
  <c r="B53" i="3"/>
  <c r="C53" i="3"/>
  <c r="D53" i="3"/>
  <c r="E53" i="3"/>
  <c r="A54" i="3"/>
  <c r="B54" i="3"/>
  <c r="C54" i="3"/>
  <c r="D54" i="3"/>
  <c r="E54" i="3"/>
  <c r="A55" i="3"/>
  <c r="B55" i="3"/>
  <c r="C55" i="3"/>
  <c r="D55" i="3"/>
  <c r="E55" i="3"/>
  <c r="A56" i="3"/>
  <c r="B56" i="3"/>
  <c r="C56" i="3"/>
  <c r="D56" i="3"/>
  <c r="E56" i="3"/>
  <c r="A57" i="3"/>
  <c r="B57" i="3"/>
  <c r="C57" i="3"/>
  <c r="D57" i="3"/>
  <c r="E57" i="3"/>
  <c r="A58" i="3"/>
  <c r="B58" i="3"/>
  <c r="C58" i="3"/>
  <c r="D58" i="3"/>
  <c r="E58" i="3"/>
  <c r="A59" i="3"/>
  <c r="B59" i="3"/>
  <c r="C59" i="3"/>
  <c r="D59" i="3"/>
  <c r="E59" i="3"/>
  <c r="A60" i="3"/>
  <c r="B60" i="3"/>
  <c r="C60" i="3"/>
  <c r="D60" i="3"/>
  <c r="E60" i="3"/>
  <c r="A61" i="3"/>
  <c r="B61" i="3"/>
  <c r="C61" i="3"/>
  <c r="D61" i="3"/>
  <c r="E61" i="3"/>
  <c r="A62" i="3"/>
  <c r="B62" i="3"/>
  <c r="C62" i="3"/>
  <c r="D62" i="3"/>
  <c r="E62" i="3"/>
  <c r="A63" i="3"/>
  <c r="B63" i="3"/>
  <c r="C63" i="3"/>
  <c r="D63" i="3"/>
  <c r="E63" i="3"/>
  <c r="A64" i="3"/>
  <c r="B64" i="3"/>
  <c r="C64" i="3"/>
  <c r="D64" i="3"/>
  <c r="E64" i="3"/>
  <c r="A65" i="3"/>
  <c r="B65" i="3"/>
  <c r="C65" i="3"/>
  <c r="D65" i="3"/>
  <c r="E65" i="3"/>
  <c r="A66" i="3"/>
  <c r="B66" i="3"/>
  <c r="C66" i="3"/>
  <c r="D66" i="3"/>
  <c r="E66" i="3"/>
  <c r="A67" i="3"/>
  <c r="B67" i="3"/>
  <c r="C67" i="3"/>
  <c r="D67" i="3"/>
  <c r="E67" i="3"/>
  <c r="A68" i="3"/>
  <c r="B68" i="3"/>
  <c r="C68" i="3"/>
  <c r="D68" i="3"/>
  <c r="E68" i="3"/>
  <c r="A69" i="3"/>
  <c r="B69" i="3"/>
  <c r="C69" i="3"/>
  <c r="D69" i="3"/>
  <c r="E69" i="3"/>
  <c r="A70" i="3"/>
  <c r="B70" i="3"/>
  <c r="C70" i="3"/>
  <c r="D70" i="3"/>
  <c r="E70" i="3"/>
  <c r="A71" i="3"/>
  <c r="B71" i="3"/>
  <c r="C71" i="3"/>
  <c r="D71" i="3"/>
  <c r="E71" i="3"/>
  <c r="A70" i="2"/>
  <c r="B70" i="2"/>
  <c r="C70" i="2"/>
  <c r="D70" i="2"/>
  <c r="E70" i="2"/>
  <c r="A71" i="2"/>
  <c r="B71" i="2"/>
  <c r="C71" i="2"/>
  <c r="D71" i="2"/>
  <c r="E71" i="2"/>
  <c r="A72" i="2"/>
  <c r="B72" i="2"/>
  <c r="C72" i="2"/>
  <c r="D72" i="2"/>
  <c r="E72" i="2"/>
  <c r="L72" i="2"/>
  <c r="L71" i="2" s="1"/>
  <c r="L70" i="2" s="1"/>
  <c r="L69" i="2" s="1"/>
  <c r="L68" i="2" s="1"/>
  <c r="L67" i="2" s="1"/>
  <c r="L66" i="2" s="1"/>
  <c r="L65" i="2" s="1"/>
  <c r="L64" i="2" s="1"/>
  <c r="L63" i="2" s="1"/>
  <c r="L62" i="2" s="1"/>
  <c r="L61" i="2" s="1"/>
  <c r="L60" i="2" s="1"/>
  <c r="L59" i="2" s="1"/>
  <c r="L58" i="2" s="1"/>
  <c r="L57" i="2" s="1"/>
  <c r="L56" i="2" s="1"/>
  <c r="L55" i="2" s="1"/>
  <c r="L54" i="2" s="1"/>
  <c r="L53" i="2" s="1"/>
  <c r="L52" i="2" s="1"/>
  <c r="L51" i="2" s="1"/>
  <c r="L50" i="2" s="1"/>
  <c r="L49" i="2" s="1"/>
  <c r="L48" i="2" s="1"/>
  <c r="L47" i="2" s="1"/>
  <c r="L46" i="2" s="1"/>
  <c r="L45" i="2" s="1"/>
  <c r="L44" i="2" s="1"/>
  <c r="L43" i="2" s="1"/>
  <c r="L42" i="2" s="1"/>
  <c r="L41" i="2" s="1"/>
  <c r="L40" i="2" s="1"/>
  <c r="L39" i="2" s="1"/>
  <c r="L38" i="2" s="1"/>
  <c r="L37" i="2" s="1"/>
  <c r="L36" i="2" s="1"/>
  <c r="L35" i="2" s="1"/>
  <c r="L34" i="2" s="1"/>
  <c r="L33" i="2" s="1"/>
  <c r="L32" i="2" s="1"/>
  <c r="L31" i="2" s="1"/>
  <c r="L30" i="2" s="1"/>
  <c r="L29" i="2" s="1"/>
  <c r="L28" i="2" s="1"/>
  <c r="L27" i="2" s="1"/>
  <c r="L26" i="2" s="1"/>
  <c r="L25" i="2" s="1"/>
  <c r="L24" i="2" s="1"/>
  <c r="L23" i="2" s="1"/>
  <c r="L22" i="2" s="1"/>
  <c r="L21" i="2" s="1"/>
  <c r="L20" i="2" s="1"/>
  <c r="L19" i="2" s="1"/>
  <c r="L18" i="2" s="1"/>
  <c r="L17" i="2" s="1"/>
  <c r="L16" i="2" s="1"/>
  <c r="L15" i="2" s="1"/>
  <c r="L14" i="2" s="1"/>
  <c r="L13" i="2" s="1"/>
  <c r="L12" i="2" s="1"/>
  <c r="L11" i="2" s="1"/>
  <c r="L10" i="2" s="1"/>
  <c r="L9" i="2" s="1"/>
  <c r="L8" i="2" s="1"/>
  <c r="L7" i="2" s="1"/>
  <c r="L6" i="2" s="1"/>
  <c r="L5" i="2" s="1"/>
  <c r="L4" i="2" s="1"/>
  <c r="L3" i="2" s="1"/>
  <c r="M72" i="2"/>
  <c r="M71" i="2" s="1"/>
  <c r="M70" i="2" s="1"/>
  <c r="M69" i="2" s="1"/>
  <c r="M68" i="2" s="1"/>
  <c r="M67" i="2" s="1"/>
  <c r="M66" i="2" s="1"/>
  <c r="M65" i="2" s="1"/>
  <c r="M64" i="2" s="1"/>
  <c r="M63" i="2" s="1"/>
  <c r="M62" i="2" s="1"/>
  <c r="M61" i="2" s="1"/>
  <c r="M60" i="2" s="1"/>
  <c r="M59" i="2" s="1"/>
  <c r="M58" i="2" s="1"/>
  <c r="M57" i="2" s="1"/>
  <c r="M56" i="2" s="1"/>
  <c r="M55" i="2" s="1"/>
  <c r="M54" i="2" s="1"/>
  <c r="M53" i="2" s="1"/>
  <c r="M52" i="2" s="1"/>
  <c r="M51" i="2" s="1"/>
  <c r="M50" i="2" s="1"/>
  <c r="M49" i="2" s="1"/>
  <c r="M48" i="2" s="1"/>
  <c r="M47" i="2" s="1"/>
  <c r="M46" i="2" s="1"/>
  <c r="M45" i="2" s="1"/>
  <c r="M44" i="2" s="1"/>
  <c r="M43" i="2" s="1"/>
  <c r="M42" i="2" s="1"/>
  <c r="M41" i="2" s="1"/>
  <c r="M40" i="2" s="1"/>
  <c r="M39" i="2" s="1"/>
  <c r="M38" i="2" s="1"/>
  <c r="M37" i="2" s="1"/>
  <c r="M36" i="2" s="1"/>
  <c r="M35" i="2" s="1"/>
  <c r="M34" i="2" s="1"/>
  <c r="M33" i="2" s="1"/>
  <c r="M32" i="2" s="1"/>
  <c r="M31" i="2" s="1"/>
  <c r="M30" i="2" s="1"/>
  <c r="M29" i="2" s="1"/>
  <c r="M28" i="2" s="1"/>
  <c r="M27" i="2" s="1"/>
  <c r="M26" i="2" s="1"/>
  <c r="M25" i="2" s="1"/>
  <c r="M24" i="2" s="1"/>
  <c r="M23" i="2" s="1"/>
  <c r="M22" i="2" s="1"/>
  <c r="M21" i="2" s="1"/>
  <c r="M20" i="2" s="1"/>
  <c r="M19" i="2" s="1"/>
  <c r="M18" i="2" s="1"/>
  <c r="M17" i="2" s="1"/>
  <c r="M16" i="2" s="1"/>
  <c r="M15" i="2" s="1"/>
  <c r="M14" i="2" s="1"/>
  <c r="M13" i="2" s="1"/>
  <c r="M12" i="2" s="1"/>
  <c r="M11" i="2" s="1"/>
  <c r="M10" i="2" s="1"/>
  <c r="M9" i="2" s="1"/>
  <c r="M8" i="2" s="1"/>
  <c r="M7" i="2" s="1"/>
  <c r="M6" i="2" s="1"/>
  <c r="M5" i="2" s="1"/>
  <c r="M4" i="2" s="1"/>
  <c r="M3" i="2" s="1"/>
  <c r="F72" i="2"/>
  <c r="F71" i="2" s="1"/>
  <c r="F70" i="2" s="1"/>
  <c r="F69" i="2" s="1"/>
  <c r="F68" i="2" s="1"/>
  <c r="F67" i="2" s="1"/>
  <c r="F66" i="2" s="1"/>
  <c r="F65" i="2" s="1"/>
  <c r="F64" i="2" s="1"/>
  <c r="F63" i="2" s="1"/>
  <c r="F62" i="2" s="1"/>
  <c r="F61" i="2" s="1"/>
  <c r="F60" i="2" s="1"/>
  <c r="F59" i="2" s="1"/>
  <c r="F58" i="2" s="1"/>
  <c r="F57" i="2" s="1"/>
  <c r="F56" i="2" s="1"/>
  <c r="F55" i="2" s="1"/>
  <c r="F54" i="2" s="1"/>
  <c r="F53" i="2" s="1"/>
  <c r="F52" i="2" s="1"/>
  <c r="F51" i="2" s="1"/>
  <c r="F50" i="2" s="1"/>
  <c r="F49" i="2" s="1"/>
  <c r="F48" i="2" s="1"/>
  <c r="F47" i="2" s="1"/>
  <c r="F46" i="2" s="1"/>
  <c r="F45" i="2" s="1"/>
  <c r="F44" i="2" s="1"/>
  <c r="F43" i="2" s="1"/>
  <c r="F42" i="2" s="1"/>
  <c r="F41" i="2" s="1"/>
  <c r="F40" i="2" s="1"/>
  <c r="F39" i="2" s="1"/>
  <c r="F38" i="2" s="1"/>
  <c r="F37" i="2" s="1"/>
  <c r="F36" i="2" s="1"/>
  <c r="F35" i="2" s="1"/>
  <c r="F34" i="2" s="1"/>
  <c r="F33" i="2" s="1"/>
  <c r="F32" i="2" s="1"/>
  <c r="F31" i="2" s="1"/>
  <c r="F30" i="2" s="1"/>
  <c r="F29" i="2" s="1"/>
  <c r="F28" i="2" s="1"/>
  <c r="F27" i="2" s="1"/>
  <c r="F26" i="2" s="1"/>
  <c r="F25" i="2" s="1"/>
  <c r="F24" i="2" s="1"/>
  <c r="F23" i="2" s="1"/>
  <c r="F22" i="2" s="1"/>
  <c r="F21" i="2" s="1"/>
  <c r="F20" i="2" s="1"/>
  <c r="F19" i="2" s="1"/>
  <c r="F18" i="2" s="1"/>
  <c r="F17" i="2" s="1"/>
  <c r="F16" i="2" s="1"/>
  <c r="F15" i="2" s="1"/>
  <c r="F14" i="2" s="1"/>
  <c r="F13" i="2" s="1"/>
  <c r="F12" i="2" s="1"/>
  <c r="F11" i="2" s="1"/>
  <c r="F10" i="2" s="1"/>
  <c r="F9" i="2" s="1"/>
  <c r="F8" i="2" s="1"/>
  <c r="F7" i="2" s="1"/>
  <c r="F6" i="2" s="1"/>
  <c r="F5" i="2" s="1"/>
  <c r="F4" i="2" s="1"/>
  <c r="F3" i="2" s="1"/>
  <c r="N72" i="2"/>
  <c r="N71" i="2" s="1"/>
  <c r="N70" i="2" s="1"/>
  <c r="N69" i="2" s="1"/>
  <c r="N68" i="2" s="1"/>
  <c r="N67" i="2" s="1"/>
  <c r="N66" i="2" s="1"/>
  <c r="N65" i="2" s="1"/>
  <c r="N64" i="2" s="1"/>
  <c r="N63" i="2" s="1"/>
  <c r="N62" i="2" s="1"/>
  <c r="N61" i="2" s="1"/>
  <c r="N60" i="2" s="1"/>
  <c r="N59" i="2" s="1"/>
  <c r="N58" i="2" s="1"/>
  <c r="N57" i="2" s="1"/>
  <c r="N56" i="2" s="1"/>
  <c r="N55" i="2" s="1"/>
  <c r="N54" i="2" s="1"/>
  <c r="N53" i="2" s="1"/>
  <c r="N52" i="2" s="1"/>
  <c r="N51" i="2" s="1"/>
  <c r="N50" i="2" s="1"/>
  <c r="N49" i="2" s="1"/>
  <c r="N48" i="2" s="1"/>
  <c r="N47" i="2" s="1"/>
  <c r="N46" i="2" s="1"/>
  <c r="N45" i="2" s="1"/>
  <c r="N44" i="2" s="1"/>
  <c r="N43" i="2" s="1"/>
  <c r="N42" i="2" s="1"/>
  <c r="N41" i="2" s="1"/>
  <c r="N40" i="2" s="1"/>
  <c r="N39" i="2" s="1"/>
  <c r="N38" i="2" s="1"/>
  <c r="N37" i="2" s="1"/>
  <c r="N36" i="2" s="1"/>
  <c r="N35" i="2" s="1"/>
  <c r="N34" i="2" s="1"/>
  <c r="N33" i="2" s="1"/>
  <c r="N32" i="2" s="1"/>
  <c r="N31" i="2" s="1"/>
  <c r="N30" i="2" s="1"/>
  <c r="N29" i="2" s="1"/>
  <c r="N28" i="2" s="1"/>
  <c r="N27" i="2" s="1"/>
  <c r="N26" i="2" s="1"/>
  <c r="N25" i="2" s="1"/>
  <c r="N24" i="2" s="1"/>
  <c r="N23" i="2" s="1"/>
  <c r="N22" i="2" s="1"/>
  <c r="N21" i="2" s="1"/>
  <c r="N20" i="2" s="1"/>
  <c r="N19" i="2" s="1"/>
  <c r="N18" i="2" s="1"/>
  <c r="N17" i="2" s="1"/>
  <c r="N16" i="2" s="1"/>
  <c r="N15" i="2" s="1"/>
  <c r="N14" i="2" s="1"/>
  <c r="N13" i="2" s="1"/>
  <c r="N12" i="2" s="1"/>
  <c r="N11" i="2" s="1"/>
  <c r="N10" i="2" s="1"/>
  <c r="N9" i="2" s="1"/>
  <c r="N8" i="2" s="1"/>
  <c r="N7" i="2" s="1"/>
  <c r="N6" i="2" s="1"/>
  <c r="N5" i="2" s="1"/>
  <c r="N4" i="2" s="1"/>
  <c r="N3" i="2" s="1"/>
  <c r="O72" i="2"/>
  <c r="O71" i="2" s="1"/>
  <c r="O70" i="2" s="1"/>
  <c r="O69" i="2" s="1"/>
  <c r="O68" i="2" s="1"/>
  <c r="O67" i="2" s="1"/>
  <c r="O66" i="2" s="1"/>
  <c r="O65" i="2" s="1"/>
  <c r="O64" i="2" s="1"/>
  <c r="O63" i="2" s="1"/>
  <c r="O62" i="2" s="1"/>
  <c r="O61" i="2" s="1"/>
  <c r="O60" i="2" s="1"/>
  <c r="O59" i="2" s="1"/>
  <c r="O58" i="2" s="1"/>
  <c r="O57" i="2" s="1"/>
  <c r="O56" i="2" s="1"/>
  <c r="O55" i="2" s="1"/>
  <c r="O54" i="2" s="1"/>
  <c r="O53" i="2" s="1"/>
  <c r="O52" i="2" s="1"/>
  <c r="O51" i="2" s="1"/>
  <c r="O50" i="2" s="1"/>
  <c r="O49" i="2" s="1"/>
  <c r="O48" i="2" s="1"/>
  <c r="O47" i="2" s="1"/>
  <c r="O46" i="2" s="1"/>
  <c r="O45" i="2" s="1"/>
  <c r="O44" i="2" s="1"/>
  <c r="O43" i="2" s="1"/>
  <c r="O42" i="2" s="1"/>
  <c r="O41" i="2" s="1"/>
  <c r="O40" i="2" s="1"/>
  <c r="O39" i="2" s="1"/>
  <c r="O38" i="2" s="1"/>
  <c r="O37" i="2" s="1"/>
  <c r="O36" i="2" s="1"/>
  <c r="O35" i="2" s="1"/>
  <c r="O34" i="2" s="1"/>
  <c r="O33" i="2" s="1"/>
  <c r="O32" i="2" s="1"/>
  <c r="O31" i="2" s="1"/>
  <c r="O30" i="2" s="1"/>
  <c r="O29" i="2" s="1"/>
  <c r="O28" i="2" s="1"/>
  <c r="O27" i="2" s="1"/>
  <c r="O26" i="2" s="1"/>
  <c r="O25" i="2" s="1"/>
  <c r="O24" i="2" s="1"/>
  <c r="O23" i="2" s="1"/>
  <c r="O22" i="2" s="1"/>
  <c r="O21" i="2" s="1"/>
  <c r="O20" i="2" s="1"/>
  <c r="O19" i="2" s="1"/>
  <c r="O18" i="2" s="1"/>
  <c r="O17" i="2" s="1"/>
  <c r="O16" i="2" s="1"/>
  <c r="O15" i="2" s="1"/>
  <c r="O14" i="2" s="1"/>
  <c r="O13" i="2" s="1"/>
  <c r="O12" i="2" s="1"/>
  <c r="O11" i="2" s="1"/>
  <c r="O10" i="2" s="1"/>
  <c r="O9" i="2" s="1"/>
  <c r="O8" i="2" s="1"/>
  <c r="O7" i="2" s="1"/>
  <c r="O6" i="2" s="1"/>
  <c r="O5" i="2" s="1"/>
  <c r="O4" i="2" s="1"/>
  <c r="O3" i="2" s="1"/>
  <c r="P72" i="2"/>
  <c r="P71" i="2" s="1"/>
  <c r="P70" i="2" s="1"/>
  <c r="P69" i="2" s="1"/>
  <c r="P68" i="2" s="1"/>
  <c r="P67" i="2" s="1"/>
  <c r="P66" i="2" s="1"/>
  <c r="P65" i="2" s="1"/>
  <c r="P64" i="2" s="1"/>
  <c r="P63" i="2" s="1"/>
  <c r="P62" i="2" s="1"/>
  <c r="P61" i="2" s="1"/>
  <c r="P60" i="2" s="1"/>
  <c r="P59" i="2" s="1"/>
  <c r="P58" i="2" s="1"/>
  <c r="P57" i="2" s="1"/>
  <c r="P56" i="2" s="1"/>
  <c r="P55" i="2" s="1"/>
  <c r="P54" i="2" s="1"/>
  <c r="P53" i="2" s="1"/>
  <c r="P52" i="2" s="1"/>
  <c r="P51" i="2" s="1"/>
  <c r="P50" i="2" s="1"/>
  <c r="P49" i="2" s="1"/>
  <c r="P48" i="2" s="1"/>
  <c r="P47" i="2" s="1"/>
  <c r="P46" i="2" s="1"/>
  <c r="P45" i="2" s="1"/>
  <c r="P44" i="2" s="1"/>
  <c r="P43" i="2" s="1"/>
  <c r="P42" i="2" s="1"/>
  <c r="P41" i="2" s="1"/>
  <c r="P40" i="2" s="1"/>
  <c r="P39" i="2" s="1"/>
  <c r="P38" i="2" s="1"/>
  <c r="P37" i="2" s="1"/>
  <c r="P36" i="2" s="1"/>
  <c r="P35" i="2" s="1"/>
  <c r="P34" i="2" s="1"/>
  <c r="P33" i="2" s="1"/>
  <c r="P32" i="2" s="1"/>
  <c r="P31" i="2" s="1"/>
  <c r="P30" i="2" s="1"/>
  <c r="P29" i="2" s="1"/>
  <c r="P28" i="2" s="1"/>
  <c r="P27" i="2" s="1"/>
  <c r="P26" i="2" s="1"/>
  <c r="P25" i="2" s="1"/>
  <c r="P24" i="2" s="1"/>
  <c r="P23" i="2" s="1"/>
  <c r="P22" i="2" s="1"/>
  <c r="P21" i="2" s="1"/>
  <c r="P20" i="2" s="1"/>
  <c r="P19" i="2" s="1"/>
  <c r="P18" i="2" s="1"/>
  <c r="P17" i="2" s="1"/>
  <c r="P16" i="2" s="1"/>
  <c r="P15" i="2" s="1"/>
  <c r="P14" i="2" s="1"/>
  <c r="P13" i="2" s="1"/>
  <c r="P12" i="2" s="1"/>
  <c r="P11" i="2" s="1"/>
  <c r="P10" i="2" s="1"/>
  <c r="P9" i="2" s="1"/>
  <c r="P8" i="2" s="1"/>
  <c r="P7" i="2" s="1"/>
  <c r="P6" i="2" s="1"/>
  <c r="P5" i="2" s="1"/>
  <c r="P4" i="2" s="1"/>
  <c r="P3" i="2" s="1"/>
  <c r="G72" i="2"/>
  <c r="G71" i="2" s="1"/>
  <c r="G70" i="2" s="1"/>
  <c r="G69" i="2" s="1"/>
  <c r="H72" i="2"/>
  <c r="H71" i="2" s="1"/>
  <c r="H70" i="2" s="1"/>
  <c r="H69" i="2" s="1"/>
  <c r="I72" i="2"/>
  <c r="I71" i="2" s="1"/>
  <c r="I70" i="2" s="1"/>
  <c r="I69" i="2" s="1"/>
  <c r="J72" i="2"/>
  <c r="J71" i="2" s="1"/>
  <c r="J70" i="2" s="1"/>
  <c r="J69" i="2" s="1"/>
  <c r="K72" i="2"/>
  <c r="K71" i="2" s="1"/>
  <c r="K70" i="2" s="1"/>
  <c r="K69" i="2" s="1"/>
  <c r="Q72" i="2"/>
  <c r="Q71" i="2" s="1"/>
  <c r="Q70" i="2" s="1"/>
  <c r="Q69" i="2" s="1"/>
  <c r="A3" i="2"/>
  <c r="B3" i="2"/>
  <c r="C3" i="2"/>
  <c r="D3" i="2"/>
  <c r="E3" i="2"/>
  <c r="A4" i="2"/>
  <c r="B4" i="2"/>
  <c r="C4" i="2"/>
  <c r="D4" i="2"/>
  <c r="E4" i="2"/>
  <c r="A5" i="2"/>
  <c r="B5" i="2"/>
  <c r="C5" i="2"/>
  <c r="D5" i="2"/>
  <c r="E5" i="2"/>
  <c r="A6" i="2"/>
  <c r="B6" i="2"/>
  <c r="C6" i="2"/>
  <c r="D6" i="2"/>
  <c r="E6" i="2"/>
  <c r="A7" i="2"/>
  <c r="B7" i="2"/>
  <c r="C7" i="2"/>
  <c r="D7" i="2"/>
  <c r="E7" i="2"/>
  <c r="A8" i="2"/>
  <c r="B8" i="2"/>
  <c r="C8" i="2"/>
  <c r="D8" i="2"/>
  <c r="E8" i="2"/>
  <c r="A9" i="2"/>
  <c r="B9" i="2"/>
  <c r="C9" i="2"/>
  <c r="D9" i="2"/>
  <c r="E9" i="2"/>
  <c r="A10" i="2"/>
  <c r="B10" i="2"/>
  <c r="C10" i="2"/>
  <c r="D10" i="2"/>
  <c r="E10" i="2"/>
  <c r="A11" i="2"/>
  <c r="B11" i="2"/>
  <c r="C11" i="2"/>
  <c r="D11" i="2"/>
  <c r="E11" i="2"/>
  <c r="A12" i="2"/>
  <c r="B12" i="2"/>
  <c r="C12" i="2"/>
  <c r="D12" i="2"/>
  <c r="E12" i="2"/>
  <c r="A13" i="2"/>
  <c r="B13" i="2"/>
  <c r="C13" i="2"/>
  <c r="D13" i="2"/>
  <c r="E13" i="2"/>
  <c r="A14" i="2"/>
  <c r="B14" i="2"/>
  <c r="C14" i="2"/>
  <c r="D14" i="2"/>
  <c r="E14" i="2"/>
  <c r="A15" i="2"/>
  <c r="B15" i="2"/>
  <c r="C15" i="2"/>
  <c r="D15" i="2"/>
  <c r="E15" i="2"/>
  <c r="A16" i="2"/>
  <c r="B16" i="2"/>
  <c r="C16" i="2"/>
  <c r="D16" i="2"/>
  <c r="E16" i="2"/>
  <c r="A17" i="2"/>
  <c r="B17" i="2"/>
  <c r="C17" i="2"/>
  <c r="D17" i="2"/>
  <c r="E17" i="2"/>
  <c r="A18" i="2"/>
  <c r="B18" i="2"/>
  <c r="C18" i="2"/>
  <c r="D18" i="2"/>
  <c r="E18" i="2"/>
  <c r="A19" i="2"/>
  <c r="B19" i="2"/>
  <c r="C19" i="2"/>
  <c r="D19" i="2"/>
  <c r="E19" i="2"/>
  <c r="A20" i="2"/>
  <c r="B20" i="2"/>
  <c r="C20" i="2"/>
  <c r="D20" i="2"/>
  <c r="E20" i="2"/>
  <c r="A21" i="2"/>
  <c r="B21" i="2"/>
  <c r="C21" i="2"/>
  <c r="D21" i="2"/>
  <c r="E21" i="2"/>
  <c r="A22" i="2"/>
  <c r="B22" i="2"/>
  <c r="C22" i="2"/>
  <c r="D22" i="2"/>
  <c r="E22" i="2"/>
  <c r="A23" i="2"/>
  <c r="B23" i="2"/>
  <c r="C23" i="2"/>
  <c r="D23" i="2"/>
  <c r="E23" i="2"/>
  <c r="A24" i="2"/>
  <c r="B24" i="2"/>
  <c r="C24" i="2"/>
  <c r="D24" i="2"/>
  <c r="E24" i="2"/>
  <c r="A25" i="2"/>
  <c r="B25" i="2"/>
  <c r="C25" i="2"/>
  <c r="D25" i="2"/>
  <c r="E25" i="2"/>
  <c r="A26" i="2"/>
  <c r="B26" i="2"/>
  <c r="C26" i="2"/>
  <c r="D26" i="2"/>
  <c r="E26" i="2"/>
  <c r="A27" i="2"/>
  <c r="B27" i="2"/>
  <c r="C27" i="2"/>
  <c r="D27" i="2"/>
  <c r="E27" i="2"/>
  <c r="A28" i="2"/>
  <c r="B28" i="2"/>
  <c r="C28" i="2"/>
  <c r="D28" i="2"/>
  <c r="E28" i="2"/>
  <c r="A29" i="2"/>
  <c r="B29" i="2"/>
  <c r="C29" i="2"/>
  <c r="D29" i="2"/>
  <c r="E29" i="2"/>
  <c r="A30" i="2"/>
  <c r="B30" i="2"/>
  <c r="C30" i="2"/>
  <c r="D30" i="2"/>
  <c r="E30" i="2"/>
  <c r="A31" i="2"/>
  <c r="B31" i="2"/>
  <c r="C31" i="2"/>
  <c r="D31" i="2"/>
  <c r="E31" i="2"/>
  <c r="A32" i="2"/>
  <c r="B32" i="2"/>
  <c r="C32" i="2"/>
  <c r="D32" i="2"/>
  <c r="E32" i="2"/>
  <c r="A33" i="2"/>
  <c r="B33" i="2"/>
  <c r="C33" i="2"/>
  <c r="D33" i="2"/>
  <c r="E33" i="2"/>
  <c r="A34" i="2"/>
  <c r="B34" i="2"/>
  <c r="C34" i="2"/>
  <c r="D34" i="2"/>
  <c r="E34" i="2"/>
  <c r="A35" i="2"/>
  <c r="B35" i="2"/>
  <c r="C35" i="2"/>
  <c r="D35" i="2"/>
  <c r="E35" i="2"/>
  <c r="A36" i="2"/>
  <c r="B36" i="2"/>
  <c r="C36" i="2"/>
  <c r="D36" i="2"/>
  <c r="E36" i="2"/>
  <c r="A37" i="2"/>
  <c r="B37" i="2"/>
  <c r="C37" i="2"/>
  <c r="D37" i="2"/>
  <c r="E37" i="2"/>
  <c r="A38" i="2"/>
  <c r="B38" i="2"/>
  <c r="C38" i="2"/>
  <c r="D38" i="2"/>
  <c r="E38" i="2"/>
  <c r="A39" i="2"/>
  <c r="B39" i="2"/>
  <c r="C39" i="2"/>
  <c r="D39" i="2"/>
  <c r="E39" i="2"/>
  <c r="A40" i="2"/>
  <c r="B40" i="2"/>
  <c r="C40" i="2"/>
  <c r="D40" i="2"/>
  <c r="E40" i="2"/>
  <c r="A41" i="2"/>
  <c r="B41" i="2"/>
  <c r="C41" i="2"/>
  <c r="D41" i="2"/>
  <c r="E41" i="2"/>
  <c r="A42" i="2"/>
  <c r="B42" i="2"/>
  <c r="C42" i="2"/>
  <c r="D42" i="2"/>
  <c r="E42" i="2"/>
  <c r="A43" i="2"/>
  <c r="B43" i="2"/>
  <c r="C43" i="2"/>
  <c r="D43" i="2"/>
  <c r="E43" i="2"/>
  <c r="A44" i="2"/>
  <c r="B44" i="2"/>
  <c r="C44" i="2"/>
  <c r="D44" i="2"/>
  <c r="E44" i="2"/>
  <c r="A45" i="2"/>
  <c r="B45" i="2"/>
  <c r="C45" i="2"/>
  <c r="D45" i="2"/>
  <c r="E45" i="2"/>
  <c r="A46" i="2"/>
  <c r="B46" i="2"/>
  <c r="C46" i="2"/>
  <c r="D46" i="2"/>
  <c r="E46" i="2"/>
  <c r="A47" i="2"/>
  <c r="B47" i="2"/>
  <c r="C47" i="2"/>
  <c r="D47" i="2"/>
  <c r="E47" i="2"/>
  <c r="A48" i="2"/>
  <c r="B48" i="2"/>
  <c r="C48" i="2"/>
  <c r="D48" i="2"/>
  <c r="E48" i="2"/>
  <c r="A49" i="2"/>
  <c r="B49" i="2"/>
  <c r="C49" i="2"/>
  <c r="D49" i="2"/>
  <c r="E49" i="2"/>
  <c r="A50" i="2"/>
  <c r="B50" i="2"/>
  <c r="C50" i="2"/>
  <c r="D50" i="2"/>
  <c r="E50" i="2"/>
  <c r="A51" i="2"/>
  <c r="B51" i="2"/>
  <c r="C51" i="2"/>
  <c r="D51" i="2"/>
  <c r="E51" i="2"/>
  <c r="A52" i="2"/>
  <c r="B52" i="2"/>
  <c r="C52" i="2"/>
  <c r="D52" i="2"/>
  <c r="E52" i="2"/>
  <c r="A53" i="2"/>
  <c r="B53" i="2"/>
  <c r="C53" i="2"/>
  <c r="D53" i="2"/>
  <c r="E53" i="2"/>
  <c r="A54" i="2"/>
  <c r="B54" i="2"/>
  <c r="C54" i="2"/>
  <c r="D54" i="2"/>
  <c r="E54" i="2"/>
  <c r="A55" i="2"/>
  <c r="B55" i="2"/>
  <c r="C55" i="2"/>
  <c r="D55" i="2"/>
  <c r="E55" i="2"/>
  <c r="A56" i="2"/>
  <c r="B56" i="2"/>
  <c r="C56" i="2"/>
  <c r="D56" i="2"/>
  <c r="E56" i="2"/>
  <c r="A57" i="2"/>
  <c r="B57" i="2"/>
  <c r="C57" i="2"/>
  <c r="D57" i="2"/>
  <c r="E57" i="2"/>
  <c r="A58" i="2"/>
  <c r="B58" i="2"/>
  <c r="C58" i="2"/>
  <c r="D58" i="2"/>
  <c r="E58" i="2"/>
  <c r="A59" i="2"/>
  <c r="B59" i="2"/>
  <c r="C59" i="2"/>
  <c r="D59" i="2"/>
  <c r="E59" i="2"/>
  <c r="A60" i="2"/>
  <c r="B60" i="2"/>
  <c r="C60" i="2"/>
  <c r="D60" i="2"/>
  <c r="E60" i="2"/>
  <c r="A61" i="2"/>
  <c r="B61" i="2"/>
  <c r="C61" i="2"/>
  <c r="D61" i="2"/>
  <c r="E61" i="2"/>
  <c r="A62" i="2"/>
  <c r="B62" i="2"/>
  <c r="C62" i="2"/>
  <c r="D62" i="2"/>
  <c r="E62" i="2"/>
  <c r="A63" i="2"/>
  <c r="B63" i="2"/>
  <c r="C63" i="2"/>
  <c r="D63" i="2"/>
  <c r="E63" i="2"/>
  <c r="A64" i="2"/>
  <c r="B64" i="2"/>
  <c r="C64" i="2"/>
  <c r="D64" i="2"/>
  <c r="E64" i="2"/>
  <c r="A65" i="2"/>
  <c r="B65" i="2"/>
  <c r="C65" i="2"/>
  <c r="D65" i="2"/>
  <c r="E65" i="2"/>
  <c r="A66" i="2"/>
  <c r="B66" i="2"/>
  <c r="C66" i="2"/>
  <c r="D66" i="2"/>
  <c r="E66" i="2"/>
  <c r="A67" i="2"/>
  <c r="B67" i="2"/>
  <c r="C67" i="2"/>
  <c r="D67" i="2"/>
  <c r="E67" i="2"/>
  <c r="A68" i="2"/>
  <c r="B68" i="2"/>
  <c r="C68" i="2"/>
  <c r="D68" i="2"/>
  <c r="E68" i="2"/>
  <c r="A69" i="2"/>
  <c r="B69" i="2"/>
  <c r="C69" i="2"/>
  <c r="D69" i="2"/>
  <c r="E69" i="2"/>
  <c r="E2" i="2"/>
  <c r="AG83" i="1"/>
  <c r="AF40" i="1"/>
  <c r="AF39" i="1"/>
  <c r="AF38"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F2" i="1"/>
  <c r="AE40" i="1"/>
  <c r="AE39" i="1"/>
  <c r="AE38"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E2" i="1"/>
  <c r="AD83" i="1"/>
  <c r="AB40" i="1"/>
  <c r="AG40" i="1" s="1"/>
  <c r="AB39" i="1"/>
  <c r="AG39" i="1" s="1"/>
  <c r="AB38" i="1"/>
  <c r="AG38" i="1" s="1"/>
  <c r="AB36" i="1"/>
  <c r="AG36" i="1" s="1"/>
  <c r="AB35" i="1"/>
  <c r="AG35" i="1" s="1"/>
  <c r="AB34" i="1"/>
  <c r="AG34" i="1" s="1"/>
  <c r="AB33" i="1"/>
  <c r="AG33" i="1" s="1"/>
  <c r="AB32" i="1"/>
  <c r="AG32" i="1" s="1"/>
  <c r="AB31" i="1"/>
  <c r="AG31" i="1" s="1"/>
  <c r="AB30" i="1"/>
  <c r="AG30" i="1" s="1"/>
  <c r="AB29" i="1"/>
  <c r="AG29" i="1" s="1"/>
  <c r="AB28" i="1"/>
  <c r="AG28" i="1" s="1"/>
  <c r="AB27" i="1"/>
  <c r="AG27" i="1" s="1"/>
  <c r="AB26" i="1"/>
  <c r="AG26" i="1" s="1"/>
  <c r="AB25" i="1"/>
  <c r="AG25" i="1" s="1"/>
  <c r="AB24" i="1"/>
  <c r="AG24" i="1" s="1"/>
  <c r="AB23" i="1"/>
  <c r="AG23" i="1" s="1"/>
  <c r="AB22" i="1"/>
  <c r="AG22" i="1" s="1"/>
  <c r="AB21" i="1"/>
  <c r="AG21" i="1" s="1"/>
  <c r="AB20" i="1"/>
  <c r="AG20" i="1" s="1"/>
  <c r="AB19" i="1"/>
  <c r="AG19" i="1" s="1"/>
  <c r="AB18" i="1"/>
  <c r="AG18" i="1" s="1"/>
  <c r="AB17" i="1"/>
  <c r="AG17" i="1" s="1"/>
  <c r="AB16" i="1"/>
  <c r="AG16" i="1" s="1"/>
  <c r="AB15" i="1"/>
  <c r="AG15" i="1" s="1"/>
  <c r="AB14" i="1"/>
  <c r="AG14" i="1" s="1"/>
  <c r="AB13" i="1"/>
  <c r="AG13" i="1" s="1"/>
  <c r="AB12" i="1"/>
  <c r="AG12" i="1" s="1"/>
  <c r="AB11" i="1"/>
  <c r="AG11" i="1" s="1"/>
  <c r="AB10" i="1"/>
  <c r="AG10" i="1" s="1"/>
  <c r="AB9" i="1"/>
  <c r="AG9" i="1" s="1"/>
  <c r="AB8" i="1"/>
  <c r="AG8" i="1" s="1"/>
  <c r="AB7" i="1"/>
  <c r="AG7" i="1" s="1"/>
  <c r="AB6" i="1"/>
  <c r="AG6" i="1" s="1"/>
  <c r="AB5" i="1"/>
  <c r="AG5" i="1" s="1"/>
  <c r="AB4" i="1"/>
  <c r="AG4" i="1" s="1"/>
  <c r="AB3" i="1"/>
  <c r="AG3" i="1" s="1"/>
  <c r="AB2" i="1"/>
  <c r="AG2" i="1" s="1"/>
  <c r="E2" i="3"/>
  <c r="D2" i="3"/>
  <c r="C2" i="3"/>
  <c r="B2" i="3"/>
  <c r="A2" i="3"/>
  <c r="Q1" i="3"/>
  <c r="P1" i="3"/>
  <c r="O1" i="3"/>
  <c r="N1" i="3"/>
  <c r="M1" i="3"/>
  <c r="L1" i="3"/>
  <c r="K1" i="3"/>
  <c r="J1" i="3"/>
  <c r="I1" i="3"/>
  <c r="H1" i="3"/>
  <c r="G1" i="3"/>
  <c r="F1" i="3"/>
  <c r="E1" i="3"/>
  <c r="D1" i="3"/>
  <c r="C1" i="3"/>
  <c r="B1" i="3"/>
  <c r="A1" i="3"/>
  <c r="A1" i="2"/>
  <c r="B1" i="2"/>
  <c r="C1" i="2"/>
  <c r="D1" i="2"/>
  <c r="E1" i="2"/>
  <c r="F1" i="2"/>
  <c r="G1" i="2"/>
  <c r="H1" i="2"/>
  <c r="I1" i="2"/>
  <c r="J1" i="2"/>
  <c r="K1" i="2"/>
  <c r="L1" i="2"/>
  <c r="M1" i="2"/>
  <c r="N1" i="2"/>
  <c r="O1" i="2"/>
  <c r="P1" i="2"/>
  <c r="Q1" i="2"/>
  <c r="B2" i="2"/>
  <c r="C2" i="2"/>
  <c r="D2" i="2"/>
  <c r="A2" i="2"/>
  <c r="AA82" i="1"/>
  <c r="O82" i="1"/>
  <c r="P82" i="1"/>
  <c r="Q82" i="1"/>
  <c r="R82" i="1"/>
  <c r="T82" i="1"/>
  <c r="U82" i="1"/>
  <c r="AE82" i="1"/>
  <c r="W82" i="1"/>
  <c r="AF82" i="1"/>
  <c r="Y82" i="1"/>
  <c r="Z82" i="1"/>
  <c r="H83" i="1" l="1"/>
  <c r="K83" i="1"/>
  <c r="G83" i="1"/>
  <c r="J83" i="1"/>
  <c r="I83" i="1"/>
  <c r="L83" i="1"/>
  <c r="M83" i="1"/>
  <c r="AD82" i="1"/>
  <c r="O69" i="3"/>
  <c r="O65" i="3"/>
  <c r="O66" i="3"/>
  <c r="O62" i="3"/>
  <c r="L58" i="3"/>
  <c r="P54" i="3"/>
  <c r="M63" i="3"/>
  <c r="N31" i="3"/>
  <c r="N25" i="3"/>
  <c r="N19" i="3"/>
  <c r="N68" i="3"/>
  <c r="F59" i="3"/>
  <c r="L40" i="3"/>
  <c r="L34" i="3"/>
  <c r="O28" i="3"/>
  <c r="P22" i="3"/>
  <c r="P18" i="3"/>
  <c r="M57" i="3"/>
  <c r="M5" i="3"/>
  <c r="M15" i="3"/>
  <c r="Q71" i="3"/>
  <c r="J72" i="3"/>
  <c r="F48" i="3"/>
  <c r="M8" i="3"/>
  <c r="M4" i="3"/>
  <c r="N72" i="3"/>
  <c r="O70" i="3"/>
  <c r="M71" i="3"/>
  <c r="L71" i="3"/>
  <c r="I72" i="3"/>
  <c r="K71" i="3"/>
  <c r="H72" i="3"/>
  <c r="J71" i="3"/>
  <c r="Q72" i="3"/>
  <c r="G72" i="3"/>
  <c r="I71" i="3"/>
  <c r="P72" i="3"/>
  <c r="F72" i="3"/>
  <c r="H71" i="3"/>
  <c r="O72" i="3"/>
  <c r="G71" i="3"/>
  <c r="P71" i="3"/>
  <c r="F71" i="3"/>
  <c r="M72" i="3"/>
  <c r="L55" i="3"/>
  <c r="P45" i="3"/>
  <c r="P9" i="3"/>
  <c r="O71" i="3"/>
  <c r="L72" i="3"/>
  <c r="N71" i="3"/>
  <c r="K72" i="3"/>
  <c r="M7" i="3"/>
  <c r="F19" i="3"/>
  <c r="Q70" i="3"/>
  <c r="N70" i="3"/>
  <c r="I70" i="3"/>
  <c r="K69" i="3"/>
  <c r="M53" i="3"/>
  <c r="P49" i="3"/>
  <c r="P35" i="3"/>
  <c r="F29" i="3"/>
  <c r="H70" i="3"/>
  <c r="H69" i="3"/>
  <c r="P65" i="3"/>
  <c r="O35" i="3"/>
  <c r="M27" i="3"/>
  <c r="N21" i="3"/>
  <c r="G70" i="3"/>
  <c r="G69" i="3"/>
  <c r="N65" i="3"/>
  <c r="O59" i="3"/>
  <c r="F49" i="3"/>
  <c r="M33" i="3"/>
  <c r="M21" i="3"/>
  <c r="N9" i="3"/>
  <c r="F69" i="3"/>
  <c r="M65" i="3"/>
  <c r="F63" i="3"/>
  <c r="N59" i="3"/>
  <c r="M47" i="3"/>
  <c r="F43" i="3"/>
  <c r="L65" i="3"/>
  <c r="P55" i="3"/>
  <c r="N51" i="3"/>
  <c r="L47" i="3"/>
  <c r="L25" i="3"/>
  <c r="O55" i="3"/>
  <c r="L51" i="3"/>
  <c r="O41" i="3"/>
  <c r="L31" i="3"/>
  <c r="O67" i="3"/>
  <c r="F65" i="3"/>
  <c r="L56" i="3"/>
  <c r="Q69" i="3"/>
  <c r="M61" i="3"/>
  <c r="O57" i="3"/>
  <c r="L45" i="3"/>
  <c r="P23" i="3"/>
  <c r="M17" i="3"/>
  <c r="M67" i="3"/>
  <c r="O61" i="3"/>
  <c r="N55" i="3"/>
  <c r="O39" i="3"/>
  <c r="F25" i="3"/>
  <c r="L7" i="3"/>
  <c r="L70" i="3"/>
  <c r="L67" i="3"/>
  <c r="N61" i="3"/>
  <c r="M55" i="3"/>
  <c r="N45" i="3"/>
  <c r="F5" i="3"/>
  <c r="K70" i="3"/>
  <c r="J70" i="3"/>
  <c r="P69" i="3"/>
  <c r="P63" i="3"/>
  <c r="P29" i="3"/>
  <c r="F23" i="3"/>
  <c r="L62" i="3"/>
  <c r="L52" i="3"/>
  <c r="O24" i="3"/>
  <c r="F66" i="3"/>
  <c r="P68" i="3"/>
  <c r="F64" i="3"/>
  <c r="P56" i="3"/>
  <c r="L54" i="3"/>
  <c r="N48" i="3"/>
  <c r="O42" i="3"/>
  <c r="L36" i="3"/>
  <c r="F32" i="3"/>
  <c r="N30" i="3"/>
  <c r="L28" i="3"/>
  <c r="N24" i="3"/>
  <c r="M22" i="3"/>
  <c r="N18" i="3"/>
  <c r="P8" i="3"/>
  <c r="F4" i="3"/>
  <c r="I69" i="3"/>
  <c r="O68" i="3"/>
  <c r="P62" i="3"/>
  <c r="P59" i="3"/>
  <c r="F58" i="3"/>
  <c r="O56" i="3"/>
  <c r="F55" i="3"/>
  <c r="P53" i="3"/>
  <c r="M51" i="3"/>
  <c r="M48" i="3"/>
  <c r="O47" i="3"/>
  <c r="F46" i="3"/>
  <c r="M45" i="3"/>
  <c r="P44" i="3"/>
  <c r="N42" i="3"/>
  <c r="N39" i="3"/>
  <c r="L30" i="3"/>
  <c r="L27" i="3"/>
  <c r="M24" i="3"/>
  <c r="O21" i="3"/>
  <c r="M18" i="3"/>
  <c r="L17" i="3"/>
  <c r="F15" i="3"/>
  <c r="O8" i="3"/>
  <c r="F52" i="3"/>
  <c r="N50" i="3"/>
  <c r="L48" i="3"/>
  <c r="N44" i="3"/>
  <c r="M42" i="3"/>
  <c r="P38" i="3"/>
  <c r="F34" i="3"/>
  <c r="P26" i="3"/>
  <c r="L24" i="3"/>
  <c r="L18" i="3"/>
  <c r="P16" i="3"/>
  <c r="P12" i="3"/>
  <c r="N8" i="3"/>
  <c r="O20" i="3"/>
  <c r="F20" i="3"/>
  <c r="P20" i="3"/>
  <c r="M20" i="3"/>
  <c r="N20" i="3"/>
  <c r="M68" i="3"/>
  <c r="L50" i="3"/>
  <c r="O38" i="3"/>
  <c r="P32" i="3"/>
  <c r="F28" i="3"/>
  <c r="O26" i="3"/>
  <c r="O16" i="3"/>
  <c r="O12" i="3"/>
  <c r="N62" i="3"/>
  <c r="L68" i="3"/>
  <c r="N64" i="3"/>
  <c r="M62" i="3"/>
  <c r="P58" i="3"/>
  <c r="F54" i="3"/>
  <c r="P46" i="3"/>
  <c r="L44" i="3"/>
  <c r="N41" i="3"/>
  <c r="N38" i="3"/>
  <c r="N35" i="3"/>
  <c r="O32" i="3"/>
  <c r="O29" i="3"/>
  <c r="L26" i="3"/>
  <c r="M23" i="3"/>
  <c r="F22" i="3"/>
  <c r="L21" i="3"/>
  <c r="L20" i="3"/>
  <c r="F18" i="3"/>
  <c r="N12" i="3"/>
  <c r="O11" i="3"/>
  <c r="F9" i="3"/>
  <c r="L8" i="3"/>
  <c r="P6" i="3"/>
  <c r="O10" i="3"/>
  <c r="F10" i="3"/>
  <c r="P10" i="3"/>
  <c r="M10" i="3"/>
  <c r="N10" i="3"/>
  <c r="P64" i="3"/>
  <c r="M64" i="3"/>
  <c r="O58" i="3"/>
  <c r="P52" i="3"/>
  <c r="O46" i="3"/>
  <c r="F45" i="3"/>
  <c r="P43" i="3"/>
  <c r="M41" i="3"/>
  <c r="M38" i="3"/>
  <c r="O37" i="3"/>
  <c r="F36" i="3"/>
  <c r="M35" i="3"/>
  <c r="P34" i="3"/>
  <c r="N32" i="3"/>
  <c r="N29" i="3"/>
  <c r="P15" i="3"/>
  <c r="F13" i="3"/>
  <c r="M12" i="3"/>
  <c r="N11" i="3"/>
  <c r="O6" i="3"/>
  <c r="O14" i="3"/>
  <c r="F14" i="3"/>
  <c r="P14" i="3"/>
  <c r="M44" i="3"/>
  <c r="P66" i="3"/>
  <c r="L64" i="3"/>
  <c r="N58" i="3"/>
  <c r="O52" i="3"/>
  <c r="O49" i="3"/>
  <c r="L46" i="3"/>
  <c r="M43" i="3"/>
  <c r="F42" i="3"/>
  <c r="L41" i="3"/>
  <c r="N40" i="3"/>
  <c r="F39" i="3"/>
  <c r="L38" i="3"/>
  <c r="M37" i="3"/>
  <c r="L35" i="3"/>
  <c r="N34" i="3"/>
  <c r="F33" i="3"/>
  <c r="M32" i="3"/>
  <c r="P28" i="3"/>
  <c r="P25" i="3"/>
  <c r="F24" i="3"/>
  <c r="P19" i="3"/>
  <c r="O15" i="3"/>
  <c r="M11" i="3"/>
  <c r="L10" i="3"/>
  <c r="F8" i="3"/>
  <c r="P5" i="3"/>
  <c r="N4" i="3"/>
  <c r="M16" i="3"/>
  <c r="N16" i="3"/>
  <c r="L16" i="3"/>
  <c r="M58" i="3"/>
  <c r="F56" i="3"/>
  <c r="N52" i="3"/>
  <c r="N49" i="3"/>
  <c r="L37" i="3"/>
  <c r="M34" i="3"/>
  <c r="O31" i="3"/>
  <c r="O25" i="3"/>
  <c r="O19" i="3"/>
  <c r="N15" i="3"/>
  <c r="N14" i="3"/>
  <c r="L11" i="3"/>
  <c r="N5" i="3"/>
  <c r="M66" i="3"/>
  <c r="N66" i="3"/>
  <c r="O60" i="3"/>
  <c r="F60" i="3"/>
  <c r="P60" i="3"/>
  <c r="M60" i="3"/>
  <c r="O54" i="3"/>
  <c r="O44" i="3"/>
  <c r="O40" i="3"/>
  <c r="F40" i="3"/>
  <c r="P40" i="3"/>
  <c r="M40" i="3"/>
  <c r="M36" i="3"/>
  <c r="N36" i="3"/>
  <c r="L32" i="3"/>
  <c r="L22" i="3"/>
  <c r="L12" i="3"/>
  <c r="L4" i="3"/>
  <c r="O4" i="3"/>
  <c r="P4" i="3"/>
  <c r="F68" i="3"/>
  <c r="F61" i="3"/>
  <c r="P61" i="3"/>
  <c r="N53" i="3"/>
  <c r="O53" i="3"/>
  <c r="L53" i="3"/>
  <c r="F47" i="3"/>
  <c r="P47" i="3"/>
  <c r="N47" i="3"/>
  <c r="F41" i="3"/>
  <c r="P41" i="3"/>
  <c r="L29" i="3"/>
  <c r="M29" i="3"/>
  <c r="N23" i="3"/>
  <c r="O23" i="3"/>
  <c r="L23" i="3"/>
  <c r="F17" i="3"/>
  <c r="P17" i="3"/>
  <c r="N17" i="3"/>
  <c r="O17" i="3"/>
  <c r="N3" i="3"/>
  <c r="O3" i="3"/>
  <c r="P3" i="3"/>
  <c r="F3" i="3"/>
  <c r="L3" i="3"/>
  <c r="M3" i="3"/>
  <c r="L66" i="3"/>
  <c r="F62" i="3"/>
  <c r="N60" i="3"/>
  <c r="N54" i="3"/>
  <c r="F53" i="3"/>
  <c r="M52" i="3"/>
  <c r="P48" i="3"/>
  <c r="F44" i="3"/>
  <c r="P36" i="3"/>
  <c r="N28" i="3"/>
  <c r="O22" i="3"/>
  <c r="F16" i="3"/>
  <c r="M14" i="3"/>
  <c r="F12" i="3"/>
  <c r="O64" i="3"/>
  <c r="M56" i="3"/>
  <c r="N56" i="3"/>
  <c r="O50" i="3"/>
  <c r="F50" i="3"/>
  <c r="P50" i="3"/>
  <c r="M50" i="3"/>
  <c r="M46" i="3"/>
  <c r="N46" i="3"/>
  <c r="L42" i="3"/>
  <c r="O34" i="3"/>
  <c r="O30" i="3"/>
  <c r="F30" i="3"/>
  <c r="P30" i="3"/>
  <c r="M30" i="3"/>
  <c r="M26" i="3"/>
  <c r="N26" i="3"/>
  <c r="M6" i="3"/>
  <c r="N6" i="3"/>
  <c r="L6" i="3"/>
  <c r="L69" i="3"/>
  <c r="M69" i="3"/>
  <c r="J69" i="3"/>
  <c r="F67" i="3"/>
  <c r="P67" i="3"/>
  <c r="N67" i="3"/>
  <c r="N63" i="3"/>
  <c r="O63" i="3"/>
  <c r="L63" i="3"/>
  <c r="L59" i="3"/>
  <c r="M59" i="3"/>
  <c r="F57" i="3"/>
  <c r="P57" i="3"/>
  <c r="N57" i="3"/>
  <c r="F51" i="3"/>
  <c r="P51" i="3"/>
  <c r="L49" i="3"/>
  <c r="M49" i="3"/>
  <c r="N43" i="3"/>
  <c r="O43" i="3"/>
  <c r="L43" i="3"/>
  <c r="L39" i="3"/>
  <c r="M39" i="3"/>
  <c r="F37" i="3"/>
  <c r="P37" i="3"/>
  <c r="N37" i="3"/>
  <c r="N33" i="3"/>
  <c r="O33" i="3"/>
  <c r="L33" i="3"/>
  <c r="F31" i="3"/>
  <c r="P31" i="3"/>
  <c r="F27" i="3"/>
  <c r="P27" i="3"/>
  <c r="N27" i="3"/>
  <c r="F21" i="3"/>
  <c r="P21" i="3"/>
  <c r="L19" i="3"/>
  <c r="M19" i="3"/>
  <c r="N13" i="3"/>
  <c r="O13" i="3"/>
  <c r="L13" i="3"/>
  <c r="M13" i="3"/>
  <c r="F11" i="3"/>
  <c r="P11" i="3"/>
  <c r="L9" i="3"/>
  <c r="M9" i="3"/>
  <c r="F7" i="3"/>
  <c r="P7" i="3"/>
  <c r="N7" i="3"/>
  <c r="O7" i="3"/>
  <c r="L5" i="3"/>
  <c r="O5" i="3"/>
  <c r="L61" i="3"/>
  <c r="N69" i="3"/>
  <c r="L60" i="3"/>
  <c r="L57" i="3"/>
  <c r="M54" i="3"/>
  <c r="O51" i="3"/>
  <c r="O48" i="3"/>
  <c r="O45" i="3"/>
  <c r="P42" i="3"/>
  <c r="P39" i="3"/>
  <c r="F38" i="3"/>
  <c r="O36" i="3"/>
  <c r="F35" i="3"/>
  <c r="P33" i="3"/>
  <c r="M31" i="3"/>
  <c r="M28" i="3"/>
  <c r="O27" i="3"/>
  <c r="F26" i="3"/>
  <c r="M25" i="3"/>
  <c r="P24" i="3"/>
  <c r="N22" i="3"/>
  <c r="O18" i="3"/>
  <c r="L15" i="3"/>
  <c r="L14" i="3"/>
  <c r="P13" i="3"/>
  <c r="O9" i="3"/>
  <c r="F6" i="3"/>
  <c r="M70" i="3"/>
  <c r="P70" i="3"/>
  <c r="F70" i="3"/>
  <c r="J68" i="2"/>
  <c r="J67" i="2" s="1"/>
  <c r="J66" i="2" s="1"/>
  <c r="J65" i="2" s="1"/>
  <c r="J64" i="2" s="1"/>
  <c r="J63" i="2" s="1"/>
  <c r="J62" i="2" s="1"/>
  <c r="J61" i="2" s="1"/>
  <c r="J60" i="2" s="1"/>
  <c r="J59" i="2" s="1"/>
  <c r="J58" i="2" s="1"/>
  <c r="J57" i="2" s="1"/>
  <c r="J56" i="2" s="1"/>
  <c r="J55" i="2" s="1"/>
  <c r="J54" i="2" s="1"/>
  <c r="J53" i="2" s="1"/>
  <c r="J52" i="2" s="1"/>
  <c r="J51" i="2" s="1"/>
  <c r="J50" i="2" s="1"/>
  <c r="J49" i="2" s="1"/>
  <c r="J48" i="2" s="1"/>
  <c r="J47" i="2" s="1"/>
  <c r="J46" i="2" s="1"/>
  <c r="J45" i="2" s="1"/>
  <c r="J44" i="2" s="1"/>
  <c r="J43" i="2" s="1"/>
  <c r="J42" i="2" s="1"/>
  <c r="J41" i="2" s="1"/>
  <c r="J40" i="2" s="1"/>
  <c r="J39" i="2" s="1"/>
  <c r="J38" i="2" s="1"/>
  <c r="J37" i="2" s="1"/>
  <c r="J36" i="2" s="1"/>
  <c r="J35" i="2" s="1"/>
  <c r="J34" i="2" s="1"/>
  <c r="J33" i="2" s="1"/>
  <c r="J32" i="2" s="1"/>
  <c r="J31" i="2" s="1"/>
  <c r="J30" i="2" s="1"/>
  <c r="J29" i="2" s="1"/>
  <c r="J28" i="2" s="1"/>
  <c r="J27" i="2" s="1"/>
  <c r="J26" i="2" s="1"/>
  <c r="J25" i="2" s="1"/>
  <c r="J24" i="2" s="1"/>
  <c r="J23" i="2" s="1"/>
  <c r="J22" i="2" s="1"/>
  <c r="J21" i="2" s="1"/>
  <c r="J20" i="2" s="1"/>
  <c r="J19" i="2" s="1"/>
  <c r="J18" i="2" s="1"/>
  <c r="J17" i="2" s="1"/>
  <c r="J16" i="2" s="1"/>
  <c r="J15" i="2" s="1"/>
  <c r="J14" i="2" s="1"/>
  <c r="J13" i="2" s="1"/>
  <c r="J12" i="2" s="1"/>
  <c r="J11" i="2" s="1"/>
  <c r="J10" i="2" s="1"/>
  <c r="J9" i="2" s="1"/>
  <c r="J8" i="2" s="1"/>
  <c r="J7" i="2" s="1"/>
  <c r="J6" i="2" s="1"/>
  <c r="J5" i="2" s="1"/>
  <c r="J4" i="2" s="1"/>
  <c r="J3" i="2" s="1"/>
  <c r="J3" i="3" s="1"/>
  <c r="I68" i="2"/>
  <c r="I67" i="2" s="1"/>
  <c r="I66" i="2" s="1"/>
  <c r="I65" i="2" s="1"/>
  <c r="I64" i="2" s="1"/>
  <c r="I63" i="2" s="1"/>
  <c r="I62" i="2" s="1"/>
  <c r="I61" i="2" s="1"/>
  <c r="I60" i="2" s="1"/>
  <c r="I59" i="2" s="1"/>
  <c r="I58" i="2" s="1"/>
  <c r="I57" i="2" s="1"/>
  <c r="I56" i="2" s="1"/>
  <c r="I55" i="2" s="1"/>
  <c r="I54" i="2" s="1"/>
  <c r="I53" i="2" s="1"/>
  <c r="I52" i="2" s="1"/>
  <c r="I51" i="2" s="1"/>
  <c r="I50" i="2" s="1"/>
  <c r="I49" i="2" s="1"/>
  <c r="I48" i="2" s="1"/>
  <c r="I47" i="2" s="1"/>
  <c r="I46" i="2" s="1"/>
  <c r="I45" i="2" s="1"/>
  <c r="I44" i="2" s="1"/>
  <c r="I43" i="2" s="1"/>
  <c r="I42" i="2" s="1"/>
  <c r="I41" i="2" s="1"/>
  <c r="I40" i="2" s="1"/>
  <c r="I39" i="2" s="1"/>
  <c r="I38" i="2" s="1"/>
  <c r="I37" i="2" s="1"/>
  <c r="I36" i="2" s="1"/>
  <c r="I35" i="2" s="1"/>
  <c r="I34" i="2" s="1"/>
  <c r="I33" i="2" s="1"/>
  <c r="I32" i="2" s="1"/>
  <c r="I31" i="2" s="1"/>
  <c r="I30" i="2" s="1"/>
  <c r="I29" i="2" s="1"/>
  <c r="I28" i="2" s="1"/>
  <c r="I27" i="2" s="1"/>
  <c r="I26" i="2" s="1"/>
  <c r="I25" i="2" s="1"/>
  <c r="I24" i="2" s="1"/>
  <c r="I23" i="2" s="1"/>
  <c r="I22" i="2" s="1"/>
  <c r="I21" i="2" s="1"/>
  <c r="I20" i="2" s="1"/>
  <c r="I19" i="2" s="1"/>
  <c r="I18" i="2" s="1"/>
  <c r="I17" i="2" s="1"/>
  <c r="I16" i="2" s="1"/>
  <c r="I15" i="2" s="1"/>
  <c r="I14" i="2" s="1"/>
  <c r="I13" i="2" s="1"/>
  <c r="I12" i="2" s="1"/>
  <c r="I11" i="2" s="1"/>
  <c r="I10" i="2" s="1"/>
  <c r="I9" i="2" s="1"/>
  <c r="I8" i="2" s="1"/>
  <c r="I7" i="2" s="1"/>
  <c r="I6" i="2" s="1"/>
  <c r="I5" i="2" s="1"/>
  <c r="I4" i="2" s="1"/>
  <c r="I3" i="2" s="1"/>
  <c r="I3" i="3" s="1"/>
  <c r="K68" i="2"/>
  <c r="K67" i="2" s="1"/>
  <c r="K66" i="2" s="1"/>
  <c r="K65" i="2" s="1"/>
  <c r="K64" i="2" s="1"/>
  <c r="K63" i="2" s="1"/>
  <c r="K62" i="2" s="1"/>
  <c r="K61" i="2" s="1"/>
  <c r="K60" i="2" s="1"/>
  <c r="K59" i="2" s="1"/>
  <c r="K58" i="2" s="1"/>
  <c r="K57" i="2" s="1"/>
  <c r="K56" i="2" s="1"/>
  <c r="K55" i="2" s="1"/>
  <c r="K54" i="2" s="1"/>
  <c r="K53" i="2" s="1"/>
  <c r="K52" i="2" s="1"/>
  <c r="K51" i="2" s="1"/>
  <c r="K50" i="2" s="1"/>
  <c r="K49" i="2" s="1"/>
  <c r="K48" i="2" s="1"/>
  <c r="K47" i="2" s="1"/>
  <c r="K46" i="2" s="1"/>
  <c r="K45" i="2" s="1"/>
  <c r="K44" i="2" s="1"/>
  <c r="K43" i="2" s="1"/>
  <c r="K42" i="2" s="1"/>
  <c r="K41" i="2" s="1"/>
  <c r="K40" i="2" s="1"/>
  <c r="K39" i="2" s="1"/>
  <c r="K38" i="2" s="1"/>
  <c r="K37" i="2" s="1"/>
  <c r="K36" i="2" s="1"/>
  <c r="K35" i="2" s="1"/>
  <c r="K34" i="2" s="1"/>
  <c r="K33" i="2" s="1"/>
  <c r="K32" i="2" s="1"/>
  <c r="K31" i="2" s="1"/>
  <c r="K30" i="2" s="1"/>
  <c r="K29" i="2" s="1"/>
  <c r="K28" i="2" s="1"/>
  <c r="K27" i="2" s="1"/>
  <c r="K26" i="2" s="1"/>
  <c r="K25" i="2" s="1"/>
  <c r="K24" i="2" s="1"/>
  <c r="K23" i="2" s="1"/>
  <c r="K22" i="2" s="1"/>
  <c r="K21" i="2" s="1"/>
  <c r="K20" i="2" s="1"/>
  <c r="K19" i="2" s="1"/>
  <c r="K18" i="2" s="1"/>
  <c r="K17" i="2" s="1"/>
  <c r="K16" i="2" s="1"/>
  <c r="K15" i="2" s="1"/>
  <c r="K14" i="2" s="1"/>
  <c r="K13" i="2" s="1"/>
  <c r="K12" i="2" s="1"/>
  <c r="K11" i="2" s="1"/>
  <c r="K10" i="2" s="1"/>
  <c r="K9" i="2" s="1"/>
  <c r="K8" i="2" s="1"/>
  <c r="K7" i="2" s="1"/>
  <c r="K6" i="2" s="1"/>
  <c r="K5" i="2" s="1"/>
  <c r="K4" i="2" s="1"/>
  <c r="K3" i="2" s="1"/>
  <c r="K3" i="3" s="1"/>
  <c r="Q68" i="2"/>
  <c r="Q67" i="2" s="1"/>
  <c r="Q66" i="2" s="1"/>
  <c r="Q65" i="2" s="1"/>
  <c r="Q64" i="2" s="1"/>
  <c r="Q63" i="2" s="1"/>
  <c r="Q62" i="2" s="1"/>
  <c r="Q61" i="2" s="1"/>
  <c r="Q60" i="2" s="1"/>
  <c r="Q59" i="2" s="1"/>
  <c r="Q58" i="2" s="1"/>
  <c r="Q57" i="2" s="1"/>
  <c r="Q56" i="2" s="1"/>
  <c r="Q55" i="2" s="1"/>
  <c r="Q54" i="2" s="1"/>
  <c r="Q53" i="2" s="1"/>
  <c r="Q52" i="2" s="1"/>
  <c r="Q51" i="2" s="1"/>
  <c r="Q50" i="2" s="1"/>
  <c r="Q49" i="2" s="1"/>
  <c r="Q48" i="2" s="1"/>
  <c r="Q47" i="2" s="1"/>
  <c r="Q46" i="2" s="1"/>
  <c r="Q45" i="2" s="1"/>
  <c r="Q44" i="2" s="1"/>
  <c r="Q43" i="2" s="1"/>
  <c r="Q42" i="2" s="1"/>
  <c r="Q41" i="2" s="1"/>
  <c r="Q40" i="2" s="1"/>
  <c r="Q39" i="2" s="1"/>
  <c r="Q38" i="2" s="1"/>
  <c r="Q37" i="2" s="1"/>
  <c r="Q36" i="2" s="1"/>
  <c r="Q35" i="2" s="1"/>
  <c r="Q34" i="2" s="1"/>
  <c r="Q33" i="2" s="1"/>
  <c r="Q32" i="2" s="1"/>
  <c r="Q31" i="2" s="1"/>
  <c r="Q30" i="2" s="1"/>
  <c r="Q29" i="2" s="1"/>
  <c r="Q28" i="2" s="1"/>
  <c r="Q27" i="2" s="1"/>
  <c r="Q26" i="2" s="1"/>
  <c r="Q25" i="2" s="1"/>
  <c r="Q24" i="2" s="1"/>
  <c r="Q23" i="2" s="1"/>
  <c r="Q22" i="2" s="1"/>
  <c r="Q21" i="2" s="1"/>
  <c r="Q20" i="2" s="1"/>
  <c r="Q19" i="2" s="1"/>
  <c r="Q18" i="2" s="1"/>
  <c r="Q17" i="2" s="1"/>
  <c r="Q16" i="2" s="1"/>
  <c r="Q15" i="2" s="1"/>
  <c r="Q14" i="2" s="1"/>
  <c r="Q13" i="2" s="1"/>
  <c r="Q12" i="2" s="1"/>
  <c r="Q11" i="2" s="1"/>
  <c r="Q10" i="2" s="1"/>
  <c r="Q9" i="2" s="1"/>
  <c r="Q8" i="2" s="1"/>
  <c r="Q7" i="2" s="1"/>
  <c r="Q6" i="2" s="1"/>
  <c r="Q5" i="2" s="1"/>
  <c r="Q4" i="2" s="1"/>
  <c r="Q3" i="2" s="1"/>
  <c r="Q3" i="3" s="1"/>
  <c r="G68" i="2"/>
  <c r="G67" i="2" s="1"/>
  <c r="G66" i="2" s="1"/>
  <c r="G65" i="2" s="1"/>
  <c r="G64" i="2" s="1"/>
  <c r="G63" i="2" s="1"/>
  <c r="G62" i="2" s="1"/>
  <c r="G61" i="2" s="1"/>
  <c r="G60" i="2" s="1"/>
  <c r="G59" i="2" s="1"/>
  <c r="G58" i="2" s="1"/>
  <c r="G57" i="2" s="1"/>
  <c r="G56" i="2" s="1"/>
  <c r="G55" i="2" s="1"/>
  <c r="G54" i="2" s="1"/>
  <c r="G53" i="2" s="1"/>
  <c r="G52" i="2" s="1"/>
  <c r="G51" i="2" s="1"/>
  <c r="G50" i="2" s="1"/>
  <c r="G49" i="2" s="1"/>
  <c r="G48" i="2" s="1"/>
  <c r="G47" i="2" s="1"/>
  <c r="G46" i="2" s="1"/>
  <c r="G45" i="2" s="1"/>
  <c r="G44" i="2" s="1"/>
  <c r="G43" i="2" s="1"/>
  <c r="G42" i="2" s="1"/>
  <c r="G41" i="2" s="1"/>
  <c r="G40" i="2" s="1"/>
  <c r="G39" i="2" s="1"/>
  <c r="G38" i="2" s="1"/>
  <c r="G37" i="2" s="1"/>
  <c r="G36" i="2" s="1"/>
  <c r="G35" i="2" s="1"/>
  <c r="G34" i="2" s="1"/>
  <c r="G33" i="2" s="1"/>
  <c r="G32" i="2" s="1"/>
  <c r="G31" i="2" s="1"/>
  <c r="G30" i="2" s="1"/>
  <c r="G29" i="2" s="1"/>
  <c r="G28" i="2" s="1"/>
  <c r="G27" i="2" s="1"/>
  <c r="G26" i="2" s="1"/>
  <c r="G25" i="2" s="1"/>
  <c r="G24" i="2" s="1"/>
  <c r="G23" i="2" s="1"/>
  <c r="G22" i="2" s="1"/>
  <c r="G21" i="2" s="1"/>
  <c r="G20" i="2" s="1"/>
  <c r="G19" i="2" s="1"/>
  <c r="G18" i="2" s="1"/>
  <c r="G17" i="2" s="1"/>
  <c r="G16" i="2" s="1"/>
  <c r="G15" i="2" s="1"/>
  <c r="G14" i="2" s="1"/>
  <c r="G13" i="2" s="1"/>
  <c r="G12" i="2" s="1"/>
  <c r="G11" i="2" s="1"/>
  <c r="G10" i="2" s="1"/>
  <c r="G9" i="2" s="1"/>
  <c r="G8" i="2" s="1"/>
  <c r="G7" i="2" s="1"/>
  <c r="G6" i="2" s="1"/>
  <c r="G5" i="2" s="1"/>
  <c r="G4" i="2" s="1"/>
  <c r="G3" i="2" s="1"/>
  <c r="G3" i="3" s="1"/>
  <c r="H68" i="2"/>
  <c r="H67" i="2" s="1"/>
  <c r="H66" i="2" s="1"/>
  <c r="H65" i="2" s="1"/>
  <c r="H64" i="2" s="1"/>
  <c r="H63" i="2" s="1"/>
  <c r="H62" i="2" s="1"/>
  <c r="H61" i="2" s="1"/>
  <c r="H60" i="2" s="1"/>
  <c r="H59" i="2" s="1"/>
  <c r="H58" i="2" s="1"/>
  <c r="H57" i="2" s="1"/>
  <c r="H56" i="2" s="1"/>
  <c r="H55" i="2" s="1"/>
  <c r="H54" i="2" s="1"/>
  <c r="H53" i="2" s="1"/>
  <c r="H52" i="2" s="1"/>
  <c r="H51" i="2" s="1"/>
  <c r="H50" i="2" s="1"/>
  <c r="H49" i="2" s="1"/>
  <c r="H48" i="2" s="1"/>
  <c r="H47" i="2" s="1"/>
  <c r="H46" i="2" s="1"/>
  <c r="H45" i="2" s="1"/>
  <c r="H44" i="2" s="1"/>
  <c r="H43" i="2" s="1"/>
  <c r="H42" i="2" s="1"/>
  <c r="H41" i="2" s="1"/>
  <c r="H40" i="2" s="1"/>
  <c r="H39" i="2" s="1"/>
  <c r="H38" i="2" s="1"/>
  <c r="H37" i="2" s="1"/>
  <c r="H36" i="2" s="1"/>
  <c r="H35" i="2" s="1"/>
  <c r="H34" i="2" s="1"/>
  <c r="H33" i="2" s="1"/>
  <c r="H32" i="2" s="1"/>
  <c r="H31" i="2" s="1"/>
  <c r="H30" i="2" s="1"/>
  <c r="H29" i="2" s="1"/>
  <c r="H28" i="2" s="1"/>
  <c r="H27" i="2" s="1"/>
  <c r="H26" i="2" s="1"/>
  <c r="H25" i="2" s="1"/>
  <c r="H24" i="2" s="1"/>
  <c r="H23" i="2" s="1"/>
  <c r="H22" i="2" s="1"/>
  <c r="H21" i="2" s="1"/>
  <c r="H20" i="2" s="1"/>
  <c r="H19" i="2" s="1"/>
  <c r="H18" i="2" s="1"/>
  <c r="H17" i="2" s="1"/>
  <c r="H16" i="2" s="1"/>
  <c r="H15" i="2" s="1"/>
  <c r="H14" i="2" s="1"/>
  <c r="H13" i="2" s="1"/>
  <c r="H12" i="2" s="1"/>
  <c r="H11" i="2" s="1"/>
  <c r="H10" i="2" s="1"/>
  <c r="H9" i="2" s="1"/>
  <c r="H8" i="2" s="1"/>
  <c r="H7" i="2" s="1"/>
  <c r="H6" i="2" s="1"/>
  <c r="H5" i="2" s="1"/>
  <c r="H4" i="2" s="1"/>
  <c r="H3" i="2" s="1"/>
  <c r="H3" i="3" s="1"/>
  <c r="R83" i="1"/>
  <c r="AG82" i="1"/>
  <c r="Y83" i="1"/>
  <c r="X83" i="1"/>
  <c r="AF83" i="1" s="1"/>
  <c r="Q83" i="1"/>
  <c r="U83" i="1"/>
  <c r="S83" i="1"/>
  <c r="N83" i="1"/>
  <c r="Z83" i="1"/>
  <c r="P83" i="1"/>
  <c r="W83" i="1"/>
  <c r="V83" i="1"/>
  <c r="AE83" i="1" s="1"/>
  <c r="T83" i="1"/>
  <c r="O83" i="1"/>
  <c r="H60" i="3" l="1"/>
  <c r="H17" i="3"/>
  <c r="J45" i="3"/>
  <c r="I38" i="3"/>
  <c r="I64" i="3"/>
  <c r="J66" i="3"/>
  <c r="I18" i="3"/>
  <c r="I49" i="3"/>
  <c r="I68" i="3"/>
  <c r="J55" i="3"/>
  <c r="Q34" i="3"/>
  <c r="Q47" i="3"/>
  <c r="J68" i="3"/>
  <c r="I13" i="3"/>
  <c r="K45" i="3"/>
  <c r="J18" i="3"/>
  <c r="K56" i="3"/>
  <c r="K31" i="3"/>
  <c r="Q15" i="3"/>
  <c r="J49" i="3"/>
  <c r="K42" i="3"/>
  <c r="K66" i="3"/>
  <c r="Q6" i="3"/>
  <c r="K30" i="3"/>
  <c r="I53" i="3"/>
  <c r="J43" i="3"/>
  <c r="K40" i="3"/>
  <c r="K33" i="3"/>
  <c r="I19" i="3"/>
  <c r="I21" i="3"/>
  <c r="Q58" i="3"/>
  <c r="J29" i="3"/>
  <c r="I4" i="3"/>
  <c r="I26" i="3"/>
  <c r="I24" i="3"/>
  <c r="Q32" i="3"/>
  <c r="J61" i="3"/>
  <c r="Q55" i="3"/>
  <c r="J37" i="3"/>
  <c r="I55" i="3"/>
  <c r="K43" i="3"/>
  <c r="Q25" i="3"/>
  <c r="I59" i="3"/>
  <c r="K16" i="3"/>
  <c r="J54" i="3"/>
  <c r="K54" i="3"/>
  <c r="J59" i="3"/>
  <c r="Q56" i="3"/>
  <c r="I54" i="3"/>
  <c r="Q45" i="3"/>
  <c r="K46" i="3"/>
  <c r="K22" i="3"/>
  <c r="J48" i="3"/>
  <c r="J50" i="3"/>
  <c r="Q24" i="3"/>
  <c r="J51" i="3"/>
  <c r="J32" i="3"/>
  <c r="J40" i="3"/>
  <c r="I51" i="3"/>
  <c r="I61" i="3"/>
  <c r="Q28" i="3"/>
  <c r="Q36" i="3"/>
  <c r="Q11" i="3"/>
  <c r="K63" i="3"/>
  <c r="I15" i="3"/>
  <c r="K55" i="3"/>
  <c r="H61" i="3"/>
  <c r="I50" i="3"/>
  <c r="Q10" i="3"/>
  <c r="I27" i="3"/>
  <c r="Q21" i="3"/>
  <c r="G11" i="3"/>
  <c r="J4" i="3"/>
  <c r="Q30" i="3"/>
  <c r="J5" i="3"/>
  <c r="G37" i="3"/>
  <c r="G18" i="3"/>
  <c r="J10" i="3"/>
  <c r="G35" i="3"/>
  <c r="H41" i="3"/>
  <c r="Q48" i="3"/>
  <c r="K38" i="3"/>
  <c r="K64" i="3"/>
  <c r="K8" i="3"/>
  <c r="K23" i="3"/>
  <c r="J24" i="3"/>
  <c r="H39" i="3"/>
  <c r="I8" i="3"/>
  <c r="J30" i="3"/>
  <c r="H28" i="3"/>
  <c r="G43" i="3"/>
  <c r="H66" i="3"/>
  <c r="H24" i="3"/>
  <c r="G68" i="3"/>
  <c r="K57" i="3"/>
  <c r="K39" i="3"/>
  <c r="I35" i="3"/>
  <c r="K11" i="3"/>
  <c r="K41" i="3"/>
  <c r="H16" i="3"/>
  <c r="G5" i="3"/>
  <c r="G20" i="3"/>
  <c r="G41" i="3"/>
  <c r="H67" i="3"/>
  <c r="H34" i="3"/>
  <c r="G48" i="3"/>
  <c r="G13" i="3"/>
  <c r="G60" i="3"/>
  <c r="H59" i="3"/>
  <c r="G51" i="3"/>
  <c r="H43" i="3"/>
  <c r="Q13" i="3"/>
  <c r="G30" i="3"/>
  <c r="G23" i="3"/>
  <c r="I43" i="3"/>
  <c r="Q7" i="3"/>
  <c r="K15" i="3"/>
  <c r="H25" i="3"/>
  <c r="I31" i="3"/>
  <c r="J39" i="3"/>
  <c r="Q57" i="3"/>
  <c r="K26" i="3"/>
  <c r="G34" i="3"/>
  <c r="J58" i="3"/>
  <c r="J41" i="3"/>
  <c r="G47" i="3"/>
  <c r="H65" i="3"/>
  <c r="Q4" i="3"/>
  <c r="G28" i="3"/>
  <c r="I48" i="3"/>
  <c r="J46" i="3"/>
  <c r="H12" i="3"/>
  <c r="H53" i="3"/>
  <c r="J26" i="3"/>
  <c r="G39" i="3"/>
  <c r="H56" i="3"/>
  <c r="J16" i="3"/>
  <c r="I34" i="3"/>
  <c r="J34" i="3"/>
  <c r="K60" i="3"/>
  <c r="I52" i="3"/>
  <c r="K13" i="3"/>
  <c r="G65" i="3"/>
  <c r="G59" i="3"/>
  <c r="I60" i="3"/>
  <c r="K59" i="3"/>
  <c r="J53" i="3"/>
  <c r="Q43" i="3"/>
  <c r="H38" i="3"/>
  <c r="G21" i="3"/>
  <c r="H47" i="3"/>
  <c r="I10" i="3"/>
  <c r="K34" i="3"/>
  <c r="K58" i="3"/>
  <c r="I67" i="3"/>
  <c r="G7" i="3"/>
  <c r="J15" i="3"/>
  <c r="K25" i="3"/>
  <c r="H31" i="3"/>
  <c r="G57" i="3"/>
  <c r="Q67" i="3"/>
  <c r="K6" i="3"/>
  <c r="Q38" i="3"/>
  <c r="I58" i="3"/>
  <c r="H20" i="3"/>
  <c r="Q17" i="3"/>
  <c r="H35" i="3"/>
  <c r="K65" i="3"/>
  <c r="G4" i="3"/>
  <c r="J28" i="3"/>
  <c r="I20" i="3"/>
  <c r="K29" i="3"/>
  <c r="G56" i="3"/>
  <c r="H14" i="3"/>
  <c r="Q40" i="3"/>
  <c r="I17" i="3"/>
  <c r="I30" i="3"/>
  <c r="K18" i="3"/>
  <c r="J42" i="3"/>
  <c r="I36" i="3"/>
  <c r="I9" i="3"/>
  <c r="J22" i="3"/>
  <c r="Q35" i="3"/>
  <c r="J57" i="3"/>
  <c r="Q62" i="3"/>
  <c r="K17" i="3"/>
  <c r="Q61" i="3"/>
  <c r="H49" i="3"/>
  <c r="G45" i="3"/>
  <c r="I46" i="3"/>
  <c r="I23" i="3"/>
  <c r="K49" i="3"/>
  <c r="G26" i="3"/>
  <c r="Q42" i="3"/>
  <c r="G32" i="3"/>
  <c r="H15" i="3"/>
  <c r="G16" i="3"/>
  <c r="J11" i="3"/>
  <c r="H46" i="3"/>
  <c r="I5" i="3"/>
  <c r="I11" i="3"/>
  <c r="K19" i="3"/>
  <c r="J25" i="3"/>
  <c r="G67" i="3"/>
  <c r="H6" i="3"/>
  <c r="G38" i="3"/>
  <c r="G17" i="3"/>
  <c r="K35" i="3"/>
  <c r="J65" i="3"/>
  <c r="J12" i="3"/>
  <c r="I28" i="3"/>
  <c r="H54" i="3"/>
  <c r="H50" i="3"/>
  <c r="Q31" i="3"/>
  <c r="Q14" i="3"/>
  <c r="H30" i="3"/>
  <c r="J62" i="3"/>
  <c r="H48" i="3"/>
  <c r="Q20" i="3"/>
  <c r="Q46" i="3"/>
  <c r="Q12" i="3"/>
  <c r="J36" i="3"/>
  <c r="H10" i="3"/>
  <c r="I40" i="3"/>
  <c r="K52" i="3"/>
  <c r="Q63" i="3"/>
  <c r="I65" i="3"/>
  <c r="H9" i="3"/>
  <c r="G63" i="3"/>
  <c r="K53" i="3"/>
  <c r="H27" i="3"/>
  <c r="Q51" i="3"/>
  <c r="G6" i="3"/>
  <c r="I44" i="3"/>
  <c r="K61" i="3"/>
  <c r="H5" i="3"/>
  <c r="H11" i="3"/>
  <c r="J19" i="3"/>
  <c r="J38" i="3"/>
  <c r="H64" i="3"/>
  <c r="H23" i="3"/>
  <c r="J35" i="3"/>
  <c r="I12" i="3"/>
  <c r="I32" i="3"/>
  <c r="Q54" i="3"/>
  <c r="I6" i="3"/>
  <c r="H26" i="3"/>
  <c r="J20" i="3"/>
  <c r="H62" i="3"/>
  <c r="G14" i="3"/>
  <c r="I16" i="3"/>
  <c r="G42" i="3"/>
  <c r="K7" i="3"/>
  <c r="H33" i="3"/>
  <c r="K50" i="3"/>
  <c r="H8" i="3"/>
  <c r="G22" i="3"/>
  <c r="G40" i="3"/>
  <c r="J13" i="3"/>
  <c r="I25" i="3"/>
  <c r="H37" i="3"/>
  <c r="G49" i="3"/>
  <c r="K14" i="3"/>
  <c r="I66" i="3"/>
  <c r="I62" i="3"/>
  <c r="I37" i="3"/>
  <c r="J31" i="3"/>
  <c r="G15" i="3"/>
  <c r="K67" i="3"/>
  <c r="G25" i="3"/>
  <c r="G66" i="3"/>
  <c r="H19" i="3"/>
  <c r="H57" i="3"/>
  <c r="I29" i="3"/>
  <c r="G53" i="3"/>
  <c r="G10" i="3"/>
  <c r="G50" i="3"/>
  <c r="K9" i="3"/>
  <c r="Q27" i="3"/>
  <c r="Q64" i="3"/>
  <c r="K48" i="3"/>
  <c r="H44" i="3"/>
  <c r="G54" i="3"/>
  <c r="Q9" i="3"/>
  <c r="J21" i="3"/>
  <c r="J44" i="3"/>
  <c r="Q5" i="3"/>
  <c r="Q19" i="3"/>
  <c r="G33" i="3"/>
  <c r="Q66" i="3"/>
  <c r="Q52" i="3"/>
  <c r="Q8" i="3"/>
  <c r="K24" i="3"/>
  <c r="H22" i="3"/>
  <c r="J14" i="3"/>
  <c r="Q26" i="3"/>
  <c r="Q50" i="3"/>
  <c r="J60" i="3"/>
  <c r="G46" i="3"/>
  <c r="I45" i="3"/>
  <c r="J17" i="3"/>
  <c r="J27" i="3"/>
  <c r="Q59" i="3"/>
  <c r="I57" i="3"/>
  <c r="G9" i="3"/>
  <c r="Q33" i="3"/>
  <c r="G12" i="3"/>
  <c r="J56" i="3"/>
  <c r="J9" i="3"/>
  <c r="G27" i="3"/>
  <c r="K32" i="3"/>
  <c r="Q44" i="3"/>
  <c r="K10" i="3"/>
  <c r="J6" i="3"/>
  <c r="Q22" i="3"/>
  <c r="K20" i="3"/>
  <c r="K44" i="3"/>
  <c r="K68" i="3"/>
  <c r="G36" i="3"/>
  <c r="G8" i="3"/>
  <c r="H40" i="3"/>
  <c r="K62" i="3"/>
  <c r="Q49" i="3"/>
  <c r="J47" i="3"/>
  <c r="Q29" i="3"/>
  <c r="Q23" i="3"/>
  <c r="I33" i="3"/>
  <c r="J33" i="3"/>
  <c r="H63" i="3"/>
  <c r="J63" i="3"/>
  <c r="H7" i="3"/>
  <c r="K37" i="3"/>
  <c r="G61" i="3"/>
  <c r="I14" i="3"/>
  <c r="Q60" i="3"/>
  <c r="H21" i="3"/>
  <c r="G58" i="3"/>
  <c r="H4" i="3"/>
  <c r="H42" i="3"/>
  <c r="H36" i="3"/>
  <c r="G19" i="3"/>
  <c r="H58" i="3"/>
  <c r="G24" i="3"/>
  <c r="G55" i="3"/>
  <c r="H51" i="3"/>
  <c r="H18" i="3"/>
  <c r="I42" i="3"/>
  <c r="G64" i="3"/>
  <c r="H29" i="3"/>
  <c r="K12" i="3"/>
  <c r="G29" i="3"/>
  <c r="J52" i="3"/>
  <c r="Q65" i="3"/>
  <c r="K5" i="3"/>
  <c r="Q37" i="3"/>
  <c r="H45" i="3"/>
  <c r="H55" i="3"/>
  <c r="Q18" i="3"/>
  <c r="K4" i="3"/>
  <c r="H32" i="3"/>
  <c r="I41" i="3"/>
  <c r="I22" i="3"/>
  <c r="K36" i="3"/>
  <c r="G44" i="3"/>
  <c r="G62" i="3"/>
  <c r="I7" i="3"/>
  <c r="J23" i="3"/>
  <c r="I47" i="3"/>
  <c r="H68" i="3"/>
  <c r="J7" i="3"/>
  <c r="K21" i="3"/>
  <c r="I56" i="3"/>
  <c r="J8" i="3"/>
  <c r="Q16" i="3"/>
  <c r="K28" i="3"/>
  <c r="G52" i="3"/>
  <c r="I63" i="3"/>
  <c r="H52" i="3"/>
  <c r="Q68" i="3"/>
  <c r="Q53" i="3"/>
  <c r="K51" i="3"/>
  <c r="I39" i="3"/>
  <c r="G31" i="3"/>
  <c r="K47" i="3"/>
  <c r="Q41" i="3"/>
  <c r="K27" i="3"/>
  <c r="H13" i="3"/>
  <c r="Q39" i="3"/>
  <c r="J67" i="3"/>
  <c r="J64" i="3"/>
  <c r="K2" i="2"/>
  <c r="K2" i="3" s="1"/>
  <c r="J2" i="2"/>
  <c r="J2" i="3" s="1"/>
  <c r="O2" i="2" l="1"/>
  <c r="O2" i="3" s="1"/>
  <c r="P2" i="2"/>
  <c r="P2" i="3" s="1"/>
  <c r="N2" i="2"/>
  <c r="N2" i="3" s="1"/>
  <c r="F2" i="2"/>
  <c r="F2" i="3" s="1"/>
  <c r="I2" i="2" l="1"/>
  <c r="I2" i="3" s="1"/>
  <c r="H2" i="2"/>
  <c r="H2" i="3" s="1"/>
  <c r="Q2" i="2"/>
  <c r="Q2" i="3" s="1"/>
  <c r="G2" i="2"/>
  <c r="G2" i="3" s="1"/>
  <c r="M2" i="2"/>
  <c r="M2" i="3" s="1"/>
  <c r="L2" i="2"/>
  <c r="L2" i="3" s="1"/>
</calcChain>
</file>

<file path=xl/sharedStrings.xml><?xml version="1.0" encoding="utf-8"?>
<sst xmlns="http://schemas.openxmlformats.org/spreadsheetml/2006/main" count="341" uniqueCount="317">
  <si>
    <t xml:space="preserve">EMNLP (under review) </t>
  </si>
  <si>
    <t xml:space="preserve">JML (under review) </t>
  </si>
  <si>
    <t xml:space="preserve">ICLR (under review) </t>
  </si>
  <si>
    <t xml:space="preserve">ARR^ (under review) </t>
  </si>
  <si>
    <t xml:space="preserve">ARR (under review) </t>
  </si>
  <si>
    <t>Based Tests for Metric Validity” ON Fandina, L Choshen, E Farchi, G Kour, Y Perlitz, O Raz</t>
  </si>
  <si>
    <t>inspired framework for evaluating basic world knowledge in language models” 5th from end, numerous authors.</t>
  </si>
  <si>
    <t xml:space="preserve">TMLR (under review) </t>
  </si>
  <si>
    <t xml:space="preserve">ACL 2024 </t>
  </si>
  <si>
    <t xml:space="preserve">EMNLP 2024 Demo </t>
  </si>
  <si>
    <t xml:space="preserve">TACL2024 </t>
  </si>
  <si>
    <t xml:space="preserve">ICML2024 </t>
  </si>
  <si>
    <t xml:space="preserve">ICLR2024^ </t>
  </si>
  <si>
    <t xml:space="preserve">CogSci2024 </t>
  </si>
  <si>
    <t xml:space="preserve">ACL2024 </t>
  </si>
  <si>
    <t xml:space="preserve">NAACL2024^ </t>
  </si>
  <si>
    <t xml:space="preserve">CONDA@ACL </t>
  </si>
  <si>
    <t xml:space="preserve">EMNLP2023 </t>
  </si>
  <si>
    <t xml:space="preserve">Neurips2023 </t>
  </si>
  <si>
    <t xml:space="preserve">CoNLL </t>
  </si>
  <si>
    <t xml:space="preserve">ACL2023^ </t>
  </si>
  <si>
    <t xml:space="preserve">ACL2023 </t>
  </si>
  <si>
    <t xml:space="preserve">EMNLP2022 </t>
  </si>
  <si>
    <t xml:space="preserve">CoNLL2022 (also Blackbox NLP) </t>
  </si>
  <si>
    <t xml:space="preserve">CoNLL2022* </t>
  </si>
  <si>
    <t>COLING2022</t>
  </si>
  <si>
    <t xml:space="preserve">ACL2022* </t>
  </si>
  <si>
    <t xml:space="preserve">ACL2022 </t>
  </si>
  <si>
    <t xml:space="preserve">Arxiv* </t>
  </si>
  <si>
    <t xml:space="preserve">SEM </t>
  </si>
  <si>
    <t>LREC2022</t>
  </si>
  <si>
    <t xml:space="preserve">ArXiv* </t>
  </si>
  <si>
    <t xml:space="preserve">ArXiv </t>
  </si>
  <si>
    <t xml:space="preserve">EMNLP2021 </t>
  </si>
  <si>
    <t xml:space="preserve">ArXiv* (Technical report) </t>
  </si>
  <si>
    <t xml:space="preserve">NAACL2021 </t>
  </si>
  <si>
    <t xml:space="preserve">Nature 2021 (cover) </t>
  </si>
  <si>
    <t xml:space="preserve">CONLL 2020* </t>
  </si>
  <si>
    <t>EMNLP 2020* findings</t>
  </si>
  <si>
    <t xml:space="preserve">EMNLP 2020 </t>
  </si>
  <si>
    <t xml:space="preserve">ICML 2020 </t>
  </si>
  <si>
    <t xml:space="preserve">ICLR 2020* </t>
  </si>
  <si>
    <t xml:space="preserve">AAAI 2020 </t>
  </si>
  <si>
    <t xml:space="preserve">CoNLL 2019* </t>
  </si>
  <si>
    <t xml:space="preserve">BEA@ACL 2019* </t>
  </si>
  <si>
    <t xml:space="preserve">ACL 2019* </t>
  </si>
  <si>
    <t xml:space="preserve">ACL 2019 </t>
  </si>
  <si>
    <t xml:space="preserve">SemEval@EMNLP 2019 </t>
  </si>
  <si>
    <t xml:space="preserve">ACL 2018* </t>
  </si>
  <si>
    <t>ACL 2018* ​​</t>
  </si>
  <si>
    <t xml:space="preserve">ACL 2018 </t>
  </si>
  <si>
    <t xml:space="preserve">ICLR 2018* </t>
  </si>
  <si>
    <t xml:space="preserve"> DORA The Explorer: Directed Outreaching Reinforcement Action</t>
  </si>
  <si>
    <t xml:space="preserve"> Can You Trust Your Metric? Automatic Concatenation</t>
  </si>
  <si>
    <t xml:space="preserve"> ​​Elements of World Knowledge (EWOK): A cognition</t>
  </si>
  <si>
    <t xml:space="preserve"> Fuse to Forget: Bias Reduction and Selective Memorization through Model Fusion</t>
  </si>
  <si>
    <t xml:space="preserve"> Kerem Zaman, Leshem Choshen, Shashank Srivastava</t>
  </si>
  <si>
    <t xml:space="preserve"> Compress then Serve: Serving Thousands of LoRA Adapters with Little Overhead</t>
  </si>
  <si>
    <t xml:space="preserve"> Benchmark Agreement Testing Done Right: A Guide for LLM Benchmark Evaluation</t>
  </si>
  <si>
    <t xml:space="preserve"> Learning from Naturally Occurring Feedback</t>
  </si>
  <si>
    <t xml:space="preserve"> NumeroLogic: Number Encoding for Enhanced LLMs' Numerical Reasoning</t>
  </si>
  <si>
    <t xml:space="preserve"> Eli Schwartz, Leshem Choshen, Joseph Shtok, Sivan Doveh, Leonid Karlinsky, Assaf Arbelle</t>
  </si>
  <si>
    <t xml:space="preserve"> A Survey on Model MoErging: Recycling and Routing Among Specialized Experts for Collaborative Learning</t>
  </si>
  <si>
    <t xml:space="preserve"> Prateek Yadav, Colin Raffel, Mohammed Muqeeth, Lucas Caccia, Haokun Liu, Tianlong Chen, Mohit Bansal, Leshem Choshen, Alessandro Sordoni</t>
  </si>
  <si>
    <t xml:space="preserve"> Unitxt: Flexible, shareable and reusable data preparation and evaluation for generative ai</t>
  </si>
  <si>
    <t xml:space="preserve"> Holmes: Benchmark the Linguistic Competence of Language Models</t>
  </si>
  <si>
    <t xml:space="preserve"> Andreas Waldis, Yotam Perlitz, Leshem Choshen, Yufang Hou, Iryna Gurevych</t>
  </si>
  <si>
    <t xml:space="preserve"> tinyBenchmarks: evaluating LLMs with fewer examples</t>
  </si>
  <si>
    <t xml:space="preserve"> Felipe Maia Polo, Lucas Weber, Leshem Choshen, Yuekai Sun, Gongjun Xu, Mikhail Yurochkin</t>
  </si>
  <si>
    <t xml:space="preserve"> Deductive Closure Training of Language Models for Coherence, Accuracy, and Updatability</t>
  </si>
  <si>
    <t xml:space="preserve"> Afra Feyza Akyürek, Ekin Akyürek, Leshem Choshen, Derry Wijaya, Jacob Andreas</t>
  </si>
  <si>
    <t xml:space="preserve"> Efficient Benchmarking (of Language Models)‏</t>
  </si>
  <si>
    <t xml:space="preserve"> Data Contamination Report from the 2024 CONDA Shared Task</t>
  </si>
  <si>
    <t xml:space="preserve"> Numerous.</t>
  </si>
  <si>
    <t xml:space="preserve"> Human Learning by Model Feedback: The Dynamics of Iterative Prompting with Midjourney</t>
  </si>
  <si>
    <t xml:space="preserve"> Where to start? Analyzing the potential value of intermediate models</t>
  </si>
  <si>
    <t xml:space="preserve"> ColD Fusion: Collaborative Descent for Distributed Multitask Finetuning</t>
  </si>
  <si>
    <t xml:space="preserve"> DisentQA: Disentangling Parametric and Contextual Knowledge with Counterfactual Question Answering</t>
  </si>
  <si>
    <t xml:space="preserve"> Ella Neeman, Roee Aharoni, Or Honovich, Leshem Choshen, Idan Szpektor, Omri Abend</t>
  </si>
  <si>
    <t xml:space="preserve"> PreQuEL: Quality Estimation of Machine Translation Outputs in Advance</t>
  </si>
  <si>
    <t xml:space="preserve"> On the Representation of Sentence Structural Invariances in Neural Machine Translation</t>
  </si>
  <si>
    <t xml:space="preserve"> Gal Patel, Leshem Choshen, Omri Abend</t>
  </si>
  <si>
    <t xml:space="preserve"> Transition based Graph Decoder for Neural Machine Translation</t>
  </si>
  <si>
    <t xml:space="preserve"> Leshem Choshen, Omri Abend</t>
  </si>
  <si>
    <t xml:space="preserve"> Tackling large action spaces in machine translation</t>
  </si>
  <si>
    <t xml:space="preserve"> Assaf Yehudai, Leshem Choshen, Omri Abend</t>
  </si>
  <si>
    <t xml:space="preserve"> Label Sleuth: From Unlabeled Text to a Classifier in a Few Hours</t>
  </si>
  <si>
    <t xml:space="preserve"> Cluster &amp; Tune: Boost BERT Cold Start Performance in Topical Text Classification</t>
  </si>
  <si>
    <t xml:space="preserve"> Eyal Shnarch, Ariel Gera, Alon Halfon, Lena Dankin, Leshem Choshen, Ranit Aharonov, Noam Slonim</t>
  </si>
  <si>
    <t xml:space="preserve"> Some Grammatical Errors are Frequent, Others are Important</t>
  </si>
  <si>
    <t xml:space="preserve"> Leshem Choshen, Ofir Shifman and Omri Abend</t>
  </si>
  <si>
    <t xml:space="preserve"> Fusing finetuned models for better pretraining</t>
  </si>
  <si>
    <t xml:space="preserve"> Leshem Choshen, Elad Venezian, Noam Slonim, Yoav Katz</t>
  </si>
  <si>
    <t xml:space="preserve"> ComSum: Commit Messages Summarization and Meaning Preservation</t>
  </si>
  <si>
    <t xml:space="preserve"> Leshem Choshen &amp; Idan Amit</t>
  </si>
  <si>
    <t xml:space="preserve"> Part of speech and universal dependency effects on english arabic machine translation</t>
  </si>
  <si>
    <t xml:space="preserve"> Ofek Rafaeli, Omri Abend, Leshem Choshen, Dmitry Nikolaev</t>
  </si>
  <si>
    <t xml:space="preserve"> SERRANT: a syntactic classifier for English Grammatical Error Types</t>
  </si>
  <si>
    <t xml:space="preserve"> Leshem Choshen, Matanel Orenm Dmitry Nikolaev, Omri Abend</t>
  </si>
  <si>
    <t xml:space="preserve"> Mediators in Determining what Processing BERT Performs First</t>
  </si>
  <si>
    <t xml:space="preserve"> Aviv Solobodkin, Leshem Choshen, Omri Abend</t>
  </si>
  <si>
    <t xml:space="preserve"> Shachar Don-Yehiya, Leshem Choshen, Omri Abend</t>
  </si>
  <si>
    <t xml:space="preserve"> The ShareLM Collection and Plugin: Contributing Human-Model Chats for the Benefit of the Community</t>
  </si>
  <si>
    <t xml:space="preserve"> Shir Ashury-Tahan, Benjamin Sznajder, Leshem Choshen, Liat Ein</t>
  </si>
  <si>
    <t xml:space="preserve"> Label-Efficient Model Selection for Text Generation</t>
  </si>
  <si>
    <t>Prateek Yadav, Derek Tam, Leshem Choshen, Colin Raffel, Mohit Bansal</t>
  </si>
  <si>
    <t xml:space="preserve"> TIES-Merging: Resolving Interference When Merging Models</t>
  </si>
  <si>
    <t>Tailin Karidi, Leshem Choshen, Gal Patel, Omri Abend</t>
  </si>
  <si>
    <t xml:space="preserve"> MuLER: Multi-Level Evaluation with Reference</t>
  </si>
  <si>
    <t>Almog Gueta, Elad Venezian, Colin Raffel, Noam Slonim, Yoav Katz, Leshem Choshen</t>
  </si>
  <si>
    <t xml:space="preserve"> Knowledge is a Region in Weight Space for Fine-tuned Language Models</t>
  </si>
  <si>
    <t xml:space="preserve"> Leshem Choshen, Guy Hacohen, Daphna Weinshall, Omri Abend</t>
  </si>
  <si>
    <t xml:space="preserve"> Aviv Slobodkin, Leshem Choshen, Omri Abend</t>
  </si>
  <si>
    <t xml:space="preserve"> Piyawat Lertvittayakumjorn, Leshem Choshen, Eyal Shnarch, Francesca Toni</t>
  </si>
  <si>
    <t xml:space="preserve"> Or Honnovich, Leshem Choshen, Roee Aharoni, Idan Szpector, Omri Abend †</t>
  </si>
  <si>
    <t xml:space="preserve"> 5th author, full list of authors omitted due to length restrictions (55 authors)</t>
  </si>
  <si>
    <t xml:space="preserve"> Corpus wide argument mining- a working solution </t>
  </si>
  <si>
    <t>Liat Ein-Dor, Eyal Shnarch, Lena Dankin, Alon Halfon, Benjamin Sznajder, Ariel Gera, Carlos Alzate, Martin Gleize, Leshem Choshen, Yufang Hou, Yonatan Bilu, Ranit Aharonov, Noam Slonim</t>
  </si>
  <si>
    <t>Leshem Choshen, Omri Abend</t>
  </si>
  <si>
    <t xml:space="preserve"> Automatically Extracting Challenge Sets for Non-local Phenomena in Neural Machine Translation </t>
  </si>
  <si>
    <t xml:space="preserve"> Learning to combine Grammatical Error Corrections </t>
  </si>
  <si>
    <t>Yoav Kantor, Yoav Katz, Leshem Choshen, Edo Cohen-Karlik, Naftali Liberman, Assaf Toledo, Amir Menczel, Noam Slonim</t>
  </si>
  <si>
    <t xml:space="preserve"> The Language of Legal and Illegal Activity on the Darknet </t>
  </si>
  <si>
    <t>Leshem Choshen, Dan Eldad, Daniel Hershcovich, Elior Sulem, Omri Abend</t>
  </si>
  <si>
    <t xml:space="preserve"> Are You Convinced? Choosing the More Convincing Evidence with a Siamese Network </t>
  </si>
  <si>
    <t>Martin Gleize, Eyal Shnarch, Leshem Choshen, Lena Dankin, Guy Moshkowich, Ranit Aharonov, Noam Slonim</t>
  </si>
  <si>
    <t>Daniel Hershcovich, Zohar Aizenbud, Leshem Choshen, Elior Sulem, Ari Rappoport, Omri Abend</t>
  </si>
  <si>
    <t xml:space="preserve"> SemEval 2019 Task 1: Cross-lingual Semantic Parsing with UCCA </t>
  </si>
  <si>
    <t>​​ Inherent Biases in Reference-based Evaluation for Grammatical Error Correction and Text Simplification</t>
  </si>
  <si>
    <t xml:space="preserve"> Automatic Metric Validation for Grammatical Error Correction</t>
  </si>
  <si>
    <t xml:space="preserve"> Will it Blend? Weak and Manual Labeled Data in a Neural Network for Argumentation Mining</t>
  </si>
  <si>
    <t xml:space="preserve">Eyal Shnarch, Carlos Alzate, Lena Dankin, Martin Gleize, Yufang Hou, Leshem Choshen, Ranit Aharonov and Noam Slonim </t>
  </si>
  <si>
    <t>NAACL-HLT 2018*</t>
  </si>
  <si>
    <t>Reference-less Measure of Faithfulness for Grammatical Error Correction</t>
  </si>
  <si>
    <t>Leshem Choshen, Lior Fox, Yonatan Loewenstein</t>
  </si>
  <si>
    <t>Eyal Shnarch, Alon Halfon, Ariel Gera, Marina Danilevsky, Yannis Katsis, Leshem Choshen, Martin Santillan Cooper, Dina Epelboim, Zheng Zhang, Dakuo Wang, Lucy Yip, Liat Ein-Dor, Lena Dankin, Ilya Koifman, Noam Slonim, Yoav Katz Shnayderman, Ranit Aharonov, Yunyao Li, Naftali Liberman, Philip Levin Slesarev, Gwilym Newton, Shila Ofek</t>
  </si>
  <si>
    <t>year</t>
  </si>
  <si>
    <t>Name</t>
  </si>
  <si>
    <t>Authors</t>
  </si>
  <si>
    <t xml:space="preserve"> The Grammar-Learning Trajectories of Neural Language Models</t>
  </si>
  <si>
    <t xml:space="preserve"> Semantics-aware Attention Improves Neural Machine Translation</t>
  </si>
  <si>
    <t xml:space="preserve"> GrASP: A Library for Extracting and Exploring Human-Interpretable Textual Patterns</t>
  </si>
  <si>
    <t xml:space="preserve"> Q2: Evaluating Factual Consistency in Knowledge-Grounded Dialogues via Question Generation and Question Answering</t>
  </si>
  <si>
    <t xml:space="preserve"> Project Debater  an Autonomous Debating System</t>
  </si>
  <si>
    <t xml:space="preserve"> Classifying Syntactic Errors in Learner Language </t>
  </si>
  <si>
    <t>Leshem Choshen, Dmitry Nikolaev, Yevgeni Berzak, Omri Abend</t>
  </si>
  <si>
    <t xml:space="preserve"> Unsupervised Expressive Rules Provide Explainability and Assist Human Experts Grasping New Domains </t>
  </si>
  <si>
    <t>Eyal Shnarch, Leshem Choshen, Guy Moshkowich, Ranit Aharonov, Noam Slonim</t>
  </si>
  <si>
    <t xml:space="preserve"> Active Learning for BERT: An Empirical Study </t>
  </si>
  <si>
    <t>Liat Ein-Dor, Alon Halfon, Ariel Gera, Eyal Shnarch, Lena Dankin, Leshem Choshen, Marina Danilevsky, Ranit Aharonov, Yoav Katz and Noam Slonim</t>
  </si>
  <si>
    <t xml:space="preserve"> Let's Agree to Agree: Neural Networks Share Classification Order on Real Datasets </t>
  </si>
  <si>
    <t>Guy Hacohen, Leshem Choshen, Dafna Weinshall</t>
  </si>
  <si>
    <t xml:space="preserve"> On the Weaknesses of Reinforcement Learning for Neural Machine Translation </t>
  </si>
  <si>
    <t>Leshem Choshen, Lior Fox, Zohar Aizenbud, Omri Abend </t>
  </si>
  <si>
    <t xml:space="preserve"> Rickard BrüelGabrielsson, Jiacheng Zhu, Onkar Bhardwaj, Leshem Choshen, Kristjan Greenewald, Mikhail Yurochkin, Justin Solomon</t>
  </si>
  <si>
    <t xml:space="preserve"> Yotam Perlitz, Ariel Gera, Ofir Arviv, Asaf Yehudai, Elron Bandel, Eyal Shnarch, Michal ShmueliScheuer, Leshem Choshen</t>
  </si>
  <si>
    <t xml:space="preserve"> Shachar DonYehiya, Leshem Choshen, Omri Abend</t>
  </si>
  <si>
    <t xml:space="preserve"> Elron Bandel, Yotam Perlitz, Elad Venezian, Roni FriedmanMelamed, Ofir Arviv, Matan Orbach, Shachar Don-Yehyia, Dafna Sheinwald, Ariel Gera, Leshem Choshen, Michal Shmueli-Scheuer, Yoav Katz</t>
  </si>
  <si>
    <t xml:space="preserve"> Yotam Perlitz, Elron Bandel, Ariel Gera, Ofir Arviv, Liat Ein-Dor, Eyal Shnarch, Noam Slonim, Michal Shmueli-Scheuer, Leshem Choshen</t>
  </si>
  <si>
    <t xml:space="preserve"> Shachar Don-Yechia, Leshem Choshen, Omri Abend </t>
  </si>
  <si>
    <t xml:space="preserve"> Leshem Choshen, Elad Venezian, Shachar Don-Yechia, Yoav Katz, Noam Slonim</t>
  </si>
  <si>
    <t xml:space="preserve"> Shachar Don-Yehia, Elad Venezian, Colin Raffel, Noam Slonim, Yoav Katz, Leshem Choshen </t>
  </si>
  <si>
    <t>Dataset</t>
  </si>
  <si>
    <t>Evaluation</t>
  </si>
  <si>
    <t>Shared-task\effort</t>
  </si>
  <si>
    <t>Open</t>
  </si>
  <si>
    <t>Meta-science</t>
  </si>
  <si>
    <t>Paper</t>
  </si>
  <si>
    <t>Super Tiny Language Models</t>
  </si>
  <si>
    <t>Model Merging Competition</t>
  </si>
  <si>
    <t>BabyLM 2nd</t>
  </si>
  <si>
    <t>Hild</t>
  </si>
  <si>
    <t>Ethan Gotlieb Wilcox, Michael Hu, Aaron Mueller, Tal Linzen, Alex Warstadt, Leshem Choshen, Chengxu Zhuang, Ryan Cotterell, Adina Williams</t>
  </si>
  <si>
    <t xml:space="preserve"> Bigger is not always better: The importance of human-scale language modeling for psycholinguistics</t>
  </si>
  <si>
    <t>Efficiency</t>
  </si>
  <si>
    <t xml:space="preserve"> M Ifergan, L Choshen, R Aharoni, I Szpektor, O Abend</t>
  </si>
  <si>
    <t xml:space="preserve"> Beneath the Surface of Consistency: Exploring Cross-lingual Knowledge Representation Sharing in LLMs”</t>
  </si>
  <si>
    <t>Moshik Hershcovitch, Leshem Choshen, Andrew Wood, Ilias Enmouri, Peter Chin, Swaminathan Sundararaman, Danny Harnik</t>
  </si>
  <si>
    <t xml:space="preserve"> Lossless and Near Lossless Compression for Foundation Models</t>
  </si>
  <si>
    <t>Felipe Maia Polo, Ronald Xu, Lucas Weber, Mírian Silva, Onkar Bhardwaj, Leshem Choshen, Allysson Flavio Melo de Oliveira, Yuekai Sun, Mikhail Yurochkin</t>
  </si>
  <si>
    <t xml:space="preserve"> Efficient multi-prompt evaluation of LLMs</t>
  </si>
  <si>
    <t>Training</t>
  </si>
  <si>
    <t>Jiacheng Zhu, Kristjan Greenewald, Kimia Nadjahi, Haitz Sáez de Ocáriz Borde, Rickard Brüel Gabrielsson, Leshem Choshen, Marzyeh Ghassemi, Mikhail Yurochkin, Justin Solomon</t>
  </si>
  <si>
    <t xml:space="preserve"> Asymmetry in low rank adapters of foundation models</t>
  </si>
  <si>
    <t xml:space="preserve"> Asaf Yehudai, Boaz Carmeli, Yosi Mass, Ofir Arviv, Nathaniel Mills, Assaf Toledo, Eyal Shnarch, Leshem Choshen</t>
  </si>
  <si>
    <t xml:space="preserve"> Genie: Achieving human parity in content grounded datasets generation</t>
  </si>
  <si>
    <t xml:space="preserve">LREC-Coling 2024 </t>
  </si>
  <si>
    <t>Jump to Conclusions: Short-Cutting Transformers With Linear Transformations</t>
  </si>
  <si>
    <r>
      <t>Alexander Yom Din</t>
    </r>
    <r>
      <rPr>
        <sz val="14.4"/>
        <color rgb="FF000000"/>
        <rFont val="Lucida Grande"/>
        <family val="2"/>
      </rPr>
      <t>, </t>
    </r>
    <r>
      <rPr>
        <sz val="14"/>
        <color rgb="FF000000"/>
        <rFont val="Lucida Grande"/>
        <family val="2"/>
      </rPr>
      <t>Taelin Karidi</t>
    </r>
    <r>
      <rPr>
        <sz val="14.4"/>
        <color rgb="FF000000"/>
        <rFont val="Lucida Grande"/>
        <family val="2"/>
      </rPr>
      <t>, </t>
    </r>
    <r>
      <rPr>
        <sz val="14"/>
        <color rgb="FF000000"/>
        <rFont val="Lucida Grande"/>
        <family val="2"/>
      </rPr>
      <t>Leshem Choshen</t>
    </r>
    <r>
      <rPr>
        <sz val="14.4"/>
        <color rgb="FF000000"/>
        <rFont val="Lucida Grande"/>
        <family val="2"/>
      </rPr>
      <t>, </t>
    </r>
    <r>
      <rPr>
        <sz val="14"/>
        <color rgb="FF000000"/>
        <rFont val="Lucida Grande"/>
        <family val="2"/>
      </rPr>
      <t>Mor Geva</t>
    </r>
  </si>
  <si>
    <t>sum:</t>
  </si>
  <si>
    <t>AVG:</t>
  </si>
  <si>
    <t>Not empty</t>
  </si>
  <si>
    <t>Time of publish ID</t>
  </si>
  <si>
    <t>ICML</t>
  </si>
  <si>
    <t>CoNLL</t>
  </si>
  <si>
    <t>Neurips</t>
  </si>
  <si>
    <t>The Future of Open Human Feedback</t>
  </si>
  <si>
    <r>
      <t xml:space="preserve">Nature Machine Intelligence^ (under review) </t>
    </r>
    <r>
      <rPr>
        <sz val="12"/>
        <color rgb="FF000000"/>
        <rFont val="Times New Roman"/>
        <family val="1"/>
      </rPr>
      <t xml:space="preserve"> </t>
    </r>
  </si>
  <si>
    <t>Many authors, led by me.</t>
  </si>
  <si>
    <t>DonYehiya2024TheFO</t>
  </si>
  <si>
    <t>DBLP:journals/corr/abs-2311-07682</t>
  </si>
  <si>
    <t>DBLP:journals/corr/abs-2407-00066</t>
  </si>
  <si>
    <t>DBLP:journals/corr/abs-2407-13696</t>
  </si>
  <si>
    <t>DBLP:journals/corr/abs-2407-10944</t>
  </si>
  <si>
    <t>DBLP:journals/corr/abs-2404-15198</t>
  </si>
  <si>
    <t>DBLP:journals/corr/abs-2404-00459</t>
  </si>
  <si>
    <t>DBLP:journals/corr/abs-2405-17202</t>
  </si>
  <si>
    <t>DBLP:journals/corr/abs-2405-09605</t>
  </si>
  <si>
    <t>DBLP:journals/corr/abs-2404-18923</t>
  </si>
  <si>
    <t>DBLP:conf/coling/DinKCG24</t>
  </si>
  <si>
    <t>DBLP:journals/corr/abs-2407-21530</t>
  </si>
  <si>
    <t>DBLP:conf/emnlp/Don-YehiyaCA23</t>
  </si>
  <si>
    <t>DBLP:conf/conll/PatelCA22</t>
  </si>
  <si>
    <t>DBLP:journals/corr/abs-2205-05730</t>
  </si>
  <si>
    <t>DBLP:journals/corr/abs-2108-10763</t>
  </si>
  <si>
    <t>DBLP:journals/corr/abs-2106-00745</t>
  </si>
  <si>
    <t>DBLP:journals/corr/abs-2104-02310</t>
  </si>
  <si>
    <t>DBLP:journals/nature/SlonimBABBBCCDE21</t>
  </si>
  <si>
    <t>DBLP:conf/conll/ChoshenNBA20</t>
  </si>
  <si>
    <t>DBLP:conf/icml/HacohenCW20</t>
  </si>
  <si>
    <t>DBLP:conf/acl/ShnarchPDGHCAS18</t>
  </si>
  <si>
    <t>DBLP:conf/conll/KaridiCPA23</t>
  </si>
  <si>
    <t>DBLP:conf/nips/YadavTCRB23</t>
  </si>
  <si>
    <t>DBLP:conf/acl/Ashury-TahanGSC24</t>
  </si>
  <si>
    <t>DBLP:conf/icml/PoloWCSXY24</t>
  </si>
  <si>
    <t>DBLP:conf/icml/ZhuGNBGCGY024</t>
  </si>
  <si>
    <t>DBLP:conf/iclr/YehudaiCMAMSC24</t>
  </si>
  <si>
    <t>DBLP:conf/acl/AkyurekACWA24</t>
  </si>
  <si>
    <t>DBLP:conf/emnlp/GuetaVRSKC23</t>
  </si>
  <si>
    <t>DBLP:conf/emnlp/ChoshenVDSK23</t>
  </si>
  <si>
    <t>DBLP:conf/acl/Don-YehiyaVRSC23</t>
  </si>
  <si>
    <t>DBLP:conf/acl/NeemanAHCSA23</t>
  </si>
  <si>
    <t>DBLP:conf/emnlp/Don-YehiyaCA22</t>
  </si>
  <si>
    <t>DBLP:conf/coling/YehudaiCFA22</t>
  </si>
  <si>
    <t>DBLP:conf/emnlp/ShnarchHGDKCCEZW22</t>
  </si>
  <si>
    <t>DBLP:conf/acl/ChoshenHWA22</t>
  </si>
  <si>
    <t>DBLP:conf/acl/ShnarchGHDCAS22</t>
  </si>
  <si>
    <t>DBLP:conf/starsem/SlobodkinCA22</t>
  </si>
  <si>
    <t>DBLP:conf/lrec/Lertvittayakumjorn22</t>
  </si>
  <si>
    <t>DBLP:conf/emnlp/HonovichCANSA21</t>
  </si>
  <si>
    <t>DBLP:conf/naacl/SlobodkinCA21</t>
  </si>
  <si>
    <t>DBLP:conf/emnlp/ShnarchCMAS20</t>
  </si>
  <si>
    <t>DBLP:conf/emnlp/Ein-DorHGSDCDAK20</t>
  </si>
  <si>
    <t>DBLP:conf/iclr/ChoshenFAA20</t>
  </si>
  <si>
    <t>DBLP:conf/aaai/Ein-DorSDHSGAGC20</t>
  </si>
  <si>
    <t>DBLP:conf/conll/ChoshenA19</t>
  </si>
  <si>
    <t>DBLP:conf/bea/KantorKCCLTMS19</t>
  </si>
  <si>
    <t>DBLP:conf/acl/ChoshenEHSA19</t>
  </si>
  <si>
    <t>DBLP:conf/acl/GleizeSCDMAS19</t>
  </si>
  <si>
    <t>DBLP:conf/semeval/HershcovichACSR19</t>
  </si>
  <si>
    <t>DBLP:conf/acl/AbendC18</t>
  </si>
  <si>
    <t xml:space="preserve"> DBLP:conf/acl/AbendC18a</t>
  </si>
  <si>
    <t>DBLP:conf/naacl/ChoshenA18</t>
  </si>
  <si>
    <t xml:space="preserve"> DBLP:conf/iclr/FoxCL18</t>
  </si>
  <si>
    <t>Choshen2022FusingFM</t>
  </si>
  <si>
    <t>DBLP:conf/conll/ChoshenA22</t>
  </si>
  <si>
    <t>DBLP:conf/naacl/PerlitzBGAESSSC24</t>
  </si>
  <si>
    <t>warstadt2024insights</t>
  </si>
  <si>
    <t>yadav2024survey</t>
  </si>
  <si>
    <t>ifergan2024beneath</t>
  </si>
  <si>
    <t>fandina2024can</t>
  </si>
  <si>
    <t>don2024sharelm</t>
  </si>
  <si>
    <t>wilcox2024bigger</t>
  </si>
  <si>
    <t>Bib</t>
  </si>
  <si>
    <t>inter\eval</t>
  </si>
  <si>
    <t>open</t>
  </si>
  <si>
    <t>Allowing</t>
  </si>
  <si>
    <t>CoLM</t>
  </si>
  <si>
    <t>Unforgettable Generalization in Language Models</t>
  </si>
  <si>
    <t>Eric Zhang, Leshem Chosen, Jacob Andreas</t>
  </si>
  <si>
    <t>zhang2024unforgettable</t>
  </si>
  <si>
    <t>ICLR (under review)</t>
  </si>
  <si>
    <t>Compeft: Compression for communicating parameter efficient updates via sparsification and quantization</t>
  </si>
  <si>
    <t>Prateek Yadav, Leshem Choshen, Colin Raffel, Mohit Bansal</t>
  </si>
  <si>
    <t>Other</t>
  </si>
  <si>
    <t>Enabling Low Budget Research</t>
  </si>
  <si>
    <t>NLP</t>
  </si>
  <si>
    <t>Methods</t>
  </si>
  <si>
    <t>Resources</t>
  </si>
  <si>
    <t>Language&amp;Cognition</t>
  </si>
  <si>
    <t>The Science of Deep Learning</t>
  </si>
  <si>
    <t>bandel2024unitxt</t>
  </si>
  <si>
    <t>warstadt2023findings</t>
  </si>
  <si>
    <t xml:space="preserve"> Alex Warstadt, Aaron Mueller, Leshem Choshen, Ethan Gotlieb Wilcox, Chengxu Zhuang, Adina Williams, Ryan Cotterell, Tal Linzen</t>
  </si>
  <si>
    <t xml:space="preserve"> Insights from the first BabyLM Challenge: Training sample efficient language models on a developmentally plausible corpus</t>
  </si>
  <si>
    <t>CoNLL2023</t>
  </si>
  <si>
    <t>Findings of the {B}aby{LM} Challenge: Sample-Efficient Pretraining on Developmentally Plausible Corpora</t>
  </si>
  <si>
    <t>DBLP:journals/corr/abs-2311-13171</t>
  </si>
  <si>
    <t>hild</t>
  </si>
  <si>
    <t>knots</t>
  </si>
  <si>
    <t>Tie the KnOTS: Model Merging with SVD</t>
  </si>
  <si>
    <t>Pratik, Ramesh and George, Stoica and Boglarka, Ecsedi and Leshem, Choshen and Judy, Hoffman</t>
  </si>
  <si>
    <t>choshen2024navigating</t>
  </si>
  <si>
    <t>Navigating the Modern Evaluation Landscape: Considerations in Benchmarks and Frameworks for Large Language Models (LLMs)</t>
  </si>
  <si>
    <t>Choshen, Leshem and Gera, Ariel and Perlitz, Yotam and Shmueli-Scheuer, Michal and Stanovsky, Gabriel</t>
  </si>
  <si>
    <t>Leshem, Choshen and Atish, Agarwala and Naomi, Saphra and Boaz, Barak and Courtney, Paquette and Gowthami, Sompalli and Rosie, Zhao and Depen, Morwani and Mengzhou, Xia and Shikhar, Murty and Swabha, Swayamdipta and Tom, Goldstein</t>
  </si>
  <si>
    <t>Sloth: scaling laws for LLM skills to predict multi-benchmark performance across families</t>
  </si>
  <si>
    <t>Felipe Maia Polo, Seamus Somerstep, Leshem Choshen, Yuekai Sun, Mikhail Yurochkin</t>
  </si>
  <si>
    <t>A Hitchhiker's Guide to Scaling Law Estimation</t>
  </si>
  <si>
    <t>Leshem Choshen, Yang Zhang, Jacob Andreas</t>
  </si>
  <si>
    <t>choshen2024hitchhiker</t>
  </si>
  <si>
    <t>LiveXiv - A Multi-Modal live benchmark based on Arxiv papers content</t>
  </si>
  <si>
    <t>shabtay2024livexiv</t>
  </si>
  <si>
    <t>Nimrod Shabtay, Felipe Maia Polo, Sivan Doveh, Wei Lin, Muhammad Jehanzeb Mirza, Leshem Choshen, Mikhail Yurochkin, Yuekai Sun, Assaf Arbelle, Leonid Karlinsky, Raja Giryes</t>
  </si>
  <si>
    <t>polo2024sloth</t>
  </si>
  <si>
    <t>ICLR* (under review)</t>
  </si>
  <si>
    <t>Scaling Laws</t>
  </si>
  <si>
    <t>Recycling</t>
  </si>
  <si>
    <t>Efficient Pretraining Research</t>
  </si>
  <si>
    <t>Human-Model Interaction</t>
  </si>
  <si>
    <t>Debating</t>
  </si>
  <si>
    <t>Small Models</t>
  </si>
  <si>
    <t>Venue</t>
  </si>
  <si>
    <t>Efficient Evaluation</t>
  </si>
  <si>
    <t>Arxiv</t>
  </si>
  <si>
    <t>Arxiv - “Global MMLU: Understanding and Addressing Cultural and Linguistic Biases in Multilingual Evaluation” Many authors</t>
  </si>
  <si>
    <t>singh2024global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</si>
</sst>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Aptos Narrow"/>
      <family val="2"/>
      <scheme val="minor"/>
    </font>
    <font>
      <b/>
      <sz val="12"/>
      <color rgb="FF000000"/>
      <name val="Times New Roman"/>
      <family val="1"/>
    </font>
    <font>
      <sz val="12"/>
      <color rgb="FF000000"/>
      <name val="Times New Roman"/>
      <family val="1"/>
    </font>
    <font>
      <b/>
      <sz val="13.95"/>
      <color rgb="FF000000"/>
      <name val="Times New Roman"/>
      <family val="1"/>
    </font>
    <font>
      <u/>
      <sz val="12"/>
      <color theme="10"/>
      <name val="Aptos Narrow"/>
      <family val="2"/>
      <scheme val="minor"/>
    </font>
    <font>
      <sz val="12"/>
      <color rgb="FF000000"/>
      <name val="Aptos Narrow"/>
      <family val="2"/>
      <scheme val="minor"/>
    </font>
    <font>
      <b/>
      <sz val="21.6"/>
      <color rgb="FF000000"/>
      <name val="Lucida Grande"/>
      <family val="2"/>
    </font>
    <font>
      <sz val="14.4"/>
      <color rgb="FF000000"/>
      <name val="Lucida Grande"/>
      <family val="2"/>
    </font>
    <font>
      <sz val="14"/>
      <color rgb="FF000000"/>
      <name val="Lucida Grande"/>
      <family val="2"/>
    </font>
    <font>
      <sz val="13"/>
      <color rgb="FF3794FF"/>
      <name val="Var(--vscode-repl-font-family)"/>
    </font>
    <font>
      <sz val="12"/>
      <color rgb="FFCCCCCC"/>
      <name val="Menlo"/>
      <family val="2"/>
    </font>
    <font>
      <sz val="13"/>
      <color rgb="FF222222"/>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0" fontId="1" fillId="0" borderId="0" xfId="0" applyFont="1"/>
    <xf numFmtId="0" fontId="4" fillId="0" borderId="0" xfId="1"/>
    <xf numFmtId="0" fontId="3" fillId="0" borderId="0" xfId="0" applyFont="1"/>
    <xf numFmtId="0" fontId="5" fillId="0" borderId="0" xfId="0" applyFont="1"/>
    <xf numFmtId="0" fontId="2" fillId="0" borderId="0" xfId="0" applyFont="1"/>
    <xf numFmtId="0" fontId="6" fillId="0" borderId="0" xfId="0" applyFont="1"/>
    <xf numFmtId="2" fontId="0" fillId="0" borderId="0" xfId="0" applyNumberFormat="1"/>
    <xf numFmtId="0" fontId="9" fillId="0" borderId="0" xfId="0" applyFont="1"/>
    <xf numFmtId="0" fontId="10" fillId="0" borderId="0" xfId="0" applyFont="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Commulative!$F$1</c:f>
              <c:strCache>
                <c:ptCount val="1"/>
                <c:pt idx="0">
                  <c:v>Resources</c:v>
                </c:pt>
              </c:strCache>
            </c:strRef>
          </c:tx>
          <c:spPr>
            <a:ln w="28575" cap="rnd">
              <a:solidFill>
                <a:schemeClr val="accent1"/>
              </a:solidFill>
              <a:round/>
            </a:ln>
            <a:effectLst/>
          </c:spPr>
          <c:marker>
            <c:symbol val="none"/>
          </c:marker>
          <c:val>
            <c:numRef>
              <c:f>Commulative!$F$2:$F$72</c:f>
              <c:numCache>
                <c:formatCode>General</c:formatCode>
                <c:ptCount val="71"/>
                <c:pt idx="0">
                  <c:v>34</c:v>
                </c:pt>
                <c:pt idx="1">
                  <c:v>34</c:v>
                </c:pt>
                <c:pt idx="2">
                  <c:v>33</c:v>
                </c:pt>
                <c:pt idx="3">
                  <c:v>33</c:v>
                </c:pt>
                <c:pt idx="4">
                  <c:v>32</c:v>
                </c:pt>
                <c:pt idx="5">
                  <c:v>32</c:v>
                </c:pt>
                <c:pt idx="6">
                  <c:v>31</c:v>
                </c:pt>
                <c:pt idx="7">
                  <c:v>31</c:v>
                </c:pt>
                <c:pt idx="8">
                  <c:v>31</c:v>
                </c:pt>
                <c:pt idx="9">
                  <c:v>30</c:v>
                </c:pt>
                <c:pt idx="10">
                  <c:v>29</c:v>
                </c:pt>
                <c:pt idx="11">
                  <c:v>28</c:v>
                </c:pt>
                <c:pt idx="12">
                  <c:v>28</c:v>
                </c:pt>
                <c:pt idx="13">
                  <c:v>28</c:v>
                </c:pt>
                <c:pt idx="14">
                  <c:v>27</c:v>
                </c:pt>
                <c:pt idx="15">
                  <c:v>26</c:v>
                </c:pt>
                <c:pt idx="16">
                  <c:v>25</c:v>
                </c:pt>
                <c:pt idx="17">
                  <c:v>24</c:v>
                </c:pt>
                <c:pt idx="18">
                  <c:v>24</c:v>
                </c:pt>
                <c:pt idx="19">
                  <c:v>23</c:v>
                </c:pt>
                <c:pt idx="20">
                  <c:v>22</c:v>
                </c:pt>
                <c:pt idx="21">
                  <c:v>22</c:v>
                </c:pt>
                <c:pt idx="22">
                  <c:v>21</c:v>
                </c:pt>
                <c:pt idx="23">
                  <c:v>21</c:v>
                </c:pt>
                <c:pt idx="24">
                  <c:v>20</c:v>
                </c:pt>
                <c:pt idx="25">
                  <c:v>20</c:v>
                </c:pt>
                <c:pt idx="26">
                  <c:v>19</c:v>
                </c:pt>
                <c:pt idx="27">
                  <c:v>19</c:v>
                </c:pt>
                <c:pt idx="28">
                  <c:v>19</c:v>
                </c:pt>
                <c:pt idx="29">
                  <c:v>18</c:v>
                </c:pt>
                <c:pt idx="30">
                  <c:v>18</c:v>
                </c:pt>
                <c:pt idx="31">
                  <c:v>17</c:v>
                </c:pt>
                <c:pt idx="32">
                  <c:v>17</c:v>
                </c:pt>
                <c:pt idx="33">
                  <c:v>17</c:v>
                </c:pt>
                <c:pt idx="34">
                  <c:v>17</c:v>
                </c:pt>
                <c:pt idx="35">
                  <c:v>17</c:v>
                </c:pt>
                <c:pt idx="36">
                  <c:v>16</c:v>
                </c:pt>
                <c:pt idx="37">
                  <c:v>16</c:v>
                </c:pt>
                <c:pt idx="38">
                  <c:v>16</c:v>
                </c:pt>
                <c:pt idx="39">
                  <c:v>16</c:v>
                </c:pt>
                <c:pt idx="40">
                  <c:v>15</c:v>
                </c:pt>
                <c:pt idx="41">
                  <c:v>14</c:v>
                </c:pt>
                <c:pt idx="42">
                  <c:v>14</c:v>
                </c:pt>
                <c:pt idx="43">
                  <c:v>14</c:v>
                </c:pt>
                <c:pt idx="44">
                  <c:v>14</c:v>
                </c:pt>
                <c:pt idx="45">
                  <c:v>13</c:v>
                </c:pt>
                <c:pt idx="46">
                  <c:v>13</c:v>
                </c:pt>
                <c:pt idx="47">
                  <c:v>13</c:v>
                </c:pt>
                <c:pt idx="48">
                  <c:v>12</c:v>
                </c:pt>
                <c:pt idx="49">
                  <c:v>11</c:v>
                </c:pt>
                <c:pt idx="50">
                  <c:v>10</c:v>
                </c:pt>
                <c:pt idx="51">
                  <c:v>10</c:v>
                </c:pt>
                <c:pt idx="52">
                  <c:v>10</c:v>
                </c:pt>
                <c:pt idx="53">
                  <c:v>9</c:v>
                </c:pt>
                <c:pt idx="54">
                  <c:v>8</c:v>
                </c:pt>
                <c:pt idx="55">
                  <c:v>8</c:v>
                </c:pt>
                <c:pt idx="56">
                  <c:v>7</c:v>
                </c:pt>
                <c:pt idx="57">
                  <c:v>7</c:v>
                </c:pt>
                <c:pt idx="58">
                  <c:v>7</c:v>
                </c:pt>
                <c:pt idx="59">
                  <c:v>6</c:v>
                </c:pt>
                <c:pt idx="60">
                  <c:v>5</c:v>
                </c:pt>
                <c:pt idx="61">
                  <c:v>4</c:v>
                </c:pt>
                <c:pt idx="62">
                  <c:v>3</c:v>
                </c:pt>
                <c:pt idx="63">
                  <c:v>3</c:v>
                </c:pt>
                <c:pt idx="64">
                  <c:v>3</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0-232B-E64D-8A66-49EA06EAB129}"/>
            </c:ext>
          </c:extLst>
        </c:ser>
        <c:ser>
          <c:idx val="1"/>
          <c:order val="1"/>
          <c:tx>
            <c:strRef>
              <c:f>Commulative!$G$1</c:f>
              <c:strCache>
                <c:ptCount val="1"/>
                <c:pt idx="0">
                  <c:v>The Science of Deep Learning</c:v>
                </c:pt>
              </c:strCache>
            </c:strRef>
          </c:tx>
          <c:spPr>
            <a:ln w="28575" cap="rnd">
              <a:solidFill>
                <a:schemeClr val="accent2"/>
              </a:solidFill>
              <a:round/>
            </a:ln>
            <a:effectLst/>
          </c:spPr>
          <c:marker>
            <c:symbol val="none"/>
          </c:marker>
          <c:val>
            <c:numRef>
              <c:f>Commulative!$G$2:$G$72</c:f>
              <c:numCache>
                <c:formatCode>General</c:formatCode>
                <c:ptCount val="71"/>
                <c:pt idx="0">
                  <c:v>38</c:v>
                </c:pt>
                <c:pt idx="1">
                  <c:v>38</c:v>
                </c:pt>
                <c:pt idx="2">
                  <c:v>38</c:v>
                </c:pt>
                <c:pt idx="3">
                  <c:v>38</c:v>
                </c:pt>
                <c:pt idx="4">
                  <c:v>37</c:v>
                </c:pt>
                <c:pt idx="5">
                  <c:v>36</c:v>
                </c:pt>
                <c:pt idx="6">
                  <c:v>36</c:v>
                </c:pt>
                <c:pt idx="7">
                  <c:v>36</c:v>
                </c:pt>
                <c:pt idx="8">
                  <c:v>35</c:v>
                </c:pt>
                <c:pt idx="9">
                  <c:v>35</c:v>
                </c:pt>
                <c:pt idx="10">
                  <c:v>34</c:v>
                </c:pt>
                <c:pt idx="11">
                  <c:v>34</c:v>
                </c:pt>
                <c:pt idx="12">
                  <c:v>33</c:v>
                </c:pt>
                <c:pt idx="13">
                  <c:v>32</c:v>
                </c:pt>
                <c:pt idx="14">
                  <c:v>32</c:v>
                </c:pt>
                <c:pt idx="15">
                  <c:v>31</c:v>
                </c:pt>
                <c:pt idx="16">
                  <c:v>30</c:v>
                </c:pt>
                <c:pt idx="17">
                  <c:v>30</c:v>
                </c:pt>
                <c:pt idx="18">
                  <c:v>29</c:v>
                </c:pt>
                <c:pt idx="19">
                  <c:v>28</c:v>
                </c:pt>
                <c:pt idx="20">
                  <c:v>28</c:v>
                </c:pt>
                <c:pt idx="21">
                  <c:v>28</c:v>
                </c:pt>
                <c:pt idx="22">
                  <c:v>28</c:v>
                </c:pt>
                <c:pt idx="23">
                  <c:v>27</c:v>
                </c:pt>
                <c:pt idx="24">
                  <c:v>26</c:v>
                </c:pt>
                <c:pt idx="25">
                  <c:v>25</c:v>
                </c:pt>
                <c:pt idx="26">
                  <c:v>24</c:v>
                </c:pt>
                <c:pt idx="27">
                  <c:v>24</c:v>
                </c:pt>
                <c:pt idx="28">
                  <c:v>23</c:v>
                </c:pt>
                <c:pt idx="29">
                  <c:v>23</c:v>
                </c:pt>
                <c:pt idx="30">
                  <c:v>22</c:v>
                </c:pt>
                <c:pt idx="31">
                  <c:v>21</c:v>
                </c:pt>
                <c:pt idx="32">
                  <c:v>20</c:v>
                </c:pt>
                <c:pt idx="33">
                  <c:v>19</c:v>
                </c:pt>
                <c:pt idx="34">
                  <c:v>18</c:v>
                </c:pt>
                <c:pt idx="35">
                  <c:v>18</c:v>
                </c:pt>
                <c:pt idx="36">
                  <c:v>17</c:v>
                </c:pt>
                <c:pt idx="37">
                  <c:v>16</c:v>
                </c:pt>
                <c:pt idx="38">
                  <c:v>15</c:v>
                </c:pt>
                <c:pt idx="39">
                  <c:v>14</c:v>
                </c:pt>
                <c:pt idx="40">
                  <c:v>14</c:v>
                </c:pt>
                <c:pt idx="41">
                  <c:v>13</c:v>
                </c:pt>
                <c:pt idx="42">
                  <c:v>12</c:v>
                </c:pt>
                <c:pt idx="43">
                  <c:v>12</c:v>
                </c:pt>
                <c:pt idx="44">
                  <c:v>11</c:v>
                </c:pt>
                <c:pt idx="45">
                  <c:v>10</c:v>
                </c:pt>
                <c:pt idx="46">
                  <c:v>10</c:v>
                </c:pt>
                <c:pt idx="47">
                  <c:v>9</c:v>
                </c:pt>
                <c:pt idx="48">
                  <c:v>9</c:v>
                </c:pt>
                <c:pt idx="49">
                  <c:v>8</c:v>
                </c:pt>
                <c:pt idx="50">
                  <c:v>8</c:v>
                </c:pt>
                <c:pt idx="51">
                  <c:v>8</c:v>
                </c:pt>
                <c:pt idx="52">
                  <c:v>8</c:v>
                </c:pt>
                <c:pt idx="53">
                  <c:v>8</c:v>
                </c:pt>
                <c:pt idx="54">
                  <c:v>8</c:v>
                </c:pt>
                <c:pt idx="55">
                  <c:v>8</c:v>
                </c:pt>
                <c:pt idx="56">
                  <c:v>7</c:v>
                </c:pt>
                <c:pt idx="57">
                  <c:v>6</c:v>
                </c:pt>
                <c:pt idx="58">
                  <c:v>6</c:v>
                </c:pt>
                <c:pt idx="59">
                  <c:v>6</c:v>
                </c:pt>
                <c:pt idx="60">
                  <c:v>6</c:v>
                </c:pt>
                <c:pt idx="61">
                  <c:v>6</c:v>
                </c:pt>
                <c:pt idx="62">
                  <c:v>5</c:v>
                </c:pt>
                <c:pt idx="63">
                  <c:v>4</c:v>
                </c:pt>
                <c:pt idx="64">
                  <c:v>3</c:v>
                </c:pt>
                <c:pt idx="65">
                  <c:v>3</c:v>
                </c:pt>
                <c:pt idx="66">
                  <c:v>2</c:v>
                </c:pt>
                <c:pt idx="67">
                  <c:v>1</c:v>
                </c:pt>
                <c:pt idx="68">
                  <c:v>0</c:v>
                </c:pt>
                <c:pt idx="69">
                  <c:v>0</c:v>
                </c:pt>
                <c:pt idx="70">
                  <c:v>0</c:v>
                </c:pt>
              </c:numCache>
            </c:numRef>
          </c:val>
          <c:smooth val="0"/>
          <c:extLst>
            <c:ext xmlns:c16="http://schemas.microsoft.com/office/drawing/2014/chart" uri="{C3380CC4-5D6E-409C-BE32-E72D297353CC}">
              <c16:uniqueId val="{00000001-232B-E64D-8A66-49EA06EAB129}"/>
            </c:ext>
          </c:extLst>
        </c:ser>
        <c:ser>
          <c:idx val="2"/>
          <c:order val="2"/>
          <c:tx>
            <c:strRef>
              <c:f>Commulative!$H$1</c:f>
              <c:strCache>
                <c:ptCount val="1"/>
                <c:pt idx="0">
                  <c:v>Methods</c:v>
                </c:pt>
              </c:strCache>
            </c:strRef>
          </c:tx>
          <c:spPr>
            <a:ln w="28575" cap="rnd">
              <a:solidFill>
                <a:schemeClr val="accent3"/>
              </a:solidFill>
              <a:round/>
            </a:ln>
            <a:effectLst/>
          </c:spPr>
          <c:marker>
            <c:symbol val="none"/>
          </c:marker>
          <c:val>
            <c:numRef>
              <c:f>Commulative!$H$2:$H$72</c:f>
              <c:numCache>
                <c:formatCode>General</c:formatCode>
                <c:ptCount val="71"/>
                <c:pt idx="0">
                  <c:v>38</c:v>
                </c:pt>
                <c:pt idx="1">
                  <c:v>37</c:v>
                </c:pt>
                <c:pt idx="2">
                  <c:v>36</c:v>
                </c:pt>
                <c:pt idx="3">
                  <c:v>35</c:v>
                </c:pt>
                <c:pt idx="4">
                  <c:v>34</c:v>
                </c:pt>
                <c:pt idx="5">
                  <c:v>34</c:v>
                </c:pt>
                <c:pt idx="6">
                  <c:v>34</c:v>
                </c:pt>
                <c:pt idx="7">
                  <c:v>33</c:v>
                </c:pt>
                <c:pt idx="8">
                  <c:v>33</c:v>
                </c:pt>
                <c:pt idx="9">
                  <c:v>32</c:v>
                </c:pt>
                <c:pt idx="10">
                  <c:v>31</c:v>
                </c:pt>
                <c:pt idx="11">
                  <c:v>30</c:v>
                </c:pt>
                <c:pt idx="12">
                  <c:v>30</c:v>
                </c:pt>
                <c:pt idx="13">
                  <c:v>30</c:v>
                </c:pt>
                <c:pt idx="14">
                  <c:v>30</c:v>
                </c:pt>
                <c:pt idx="15">
                  <c:v>29</c:v>
                </c:pt>
                <c:pt idx="16">
                  <c:v>28</c:v>
                </c:pt>
                <c:pt idx="17">
                  <c:v>27</c:v>
                </c:pt>
                <c:pt idx="18">
                  <c:v>27</c:v>
                </c:pt>
                <c:pt idx="19">
                  <c:v>26</c:v>
                </c:pt>
                <c:pt idx="20">
                  <c:v>25</c:v>
                </c:pt>
                <c:pt idx="21">
                  <c:v>25</c:v>
                </c:pt>
                <c:pt idx="22">
                  <c:v>25</c:v>
                </c:pt>
                <c:pt idx="23">
                  <c:v>24</c:v>
                </c:pt>
                <c:pt idx="24">
                  <c:v>23</c:v>
                </c:pt>
                <c:pt idx="25">
                  <c:v>22</c:v>
                </c:pt>
                <c:pt idx="26">
                  <c:v>21</c:v>
                </c:pt>
                <c:pt idx="27">
                  <c:v>20</c:v>
                </c:pt>
                <c:pt idx="28">
                  <c:v>20</c:v>
                </c:pt>
                <c:pt idx="29">
                  <c:v>19</c:v>
                </c:pt>
                <c:pt idx="30">
                  <c:v>18</c:v>
                </c:pt>
                <c:pt idx="31">
                  <c:v>17</c:v>
                </c:pt>
                <c:pt idx="32">
                  <c:v>17</c:v>
                </c:pt>
                <c:pt idx="33">
                  <c:v>16</c:v>
                </c:pt>
                <c:pt idx="34">
                  <c:v>15</c:v>
                </c:pt>
                <c:pt idx="35">
                  <c:v>14</c:v>
                </c:pt>
                <c:pt idx="36">
                  <c:v>14</c:v>
                </c:pt>
                <c:pt idx="37">
                  <c:v>14</c:v>
                </c:pt>
                <c:pt idx="38">
                  <c:v>13</c:v>
                </c:pt>
                <c:pt idx="39">
                  <c:v>12</c:v>
                </c:pt>
                <c:pt idx="40">
                  <c:v>12</c:v>
                </c:pt>
                <c:pt idx="41">
                  <c:v>12</c:v>
                </c:pt>
                <c:pt idx="42">
                  <c:v>11</c:v>
                </c:pt>
                <c:pt idx="43">
                  <c:v>11</c:v>
                </c:pt>
                <c:pt idx="44">
                  <c:v>10</c:v>
                </c:pt>
                <c:pt idx="45">
                  <c:v>10</c:v>
                </c:pt>
                <c:pt idx="46">
                  <c:v>9</c:v>
                </c:pt>
                <c:pt idx="47">
                  <c:v>8</c:v>
                </c:pt>
                <c:pt idx="48">
                  <c:v>7</c:v>
                </c:pt>
                <c:pt idx="49">
                  <c:v>7</c:v>
                </c:pt>
                <c:pt idx="50">
                  <c:v>7</c:v>
                </c:pt>
                <c:pt idx="51">
                  <c:v>6</c:v>
                </c:pt>
                <c:pt idx="52">
                  <c:v>6</c:v>
                </c:pt>
                <c:pt idx="53">
                  <c:v>6</c:v>
                </c:pt>
                <c:pt idx="54">
                  <c:v>5</c:v>
                </c:pt>
                <c:pt idx="55">
                  <c:v>4</c:v>
                </c:pt>
                <c:pt idx="56">
                  <c:v>3</c:v>
                </c:pt>
                <c:pt idx="57">
                  <c:v>3</c:v>
                </c:pt>
                <c:pt idx="58">
                  <c:v>3</c:v>
                </c:pt>
                <c:pt idx="59">
                  <c:v>3</c:v>
                </c:pt>
                <c:pt idx="60">
                  <c:v>2</c:v>
                </c:pt>
                <c:pt idx="61">
                  <c:v>2</c:v>
                </c:pt>
                <c:pt idx="62">
                  <c:v>1</c:v>
                </c:pt>
                <c:pt idx="63">
                  <c:v>1</c:v>
                </c:pt>
                <c:pt idx="64">
                  <c:v>1</c:v>
                </c:pt>
                <c:pt idx="65">
                  <c:v>1</c:v>
                </c:pt>
                <c:pt idx="66">
                  <c:v>1</c:v>
                </c:pt>
                <c:pt idx="67">
                  <c:v>0</c:v>
                </c:pt>
                <c:pt idx="68">
                  <c:v>0</c:v>
                </c:pt>
                <c:pt idx="69">
                  <c:v>0</c:v>
                </c:pt>
                <c:pt idx="70">
                  <c:v>0</c:v>
                </c:pt>
              </c:numCache>
            </c:numRef>
          </c:val>
          <c:smooth val="0"/>
          <c:extLst>
            <c:ext xmlns:c16="http://schemas.microsoft.com/office/drawing/2014/chart" uri="{C3380CC4-5D6E-409C-BE32-E72D297353CC}">
              <c16:uniqueId val="{00000002-232B-E64D-8A66-49EA06EAB129}"/>
            </c:ext>
          </c:extLst>
        </c:ser>
        <c:ser>
          <c:idx val="3"/>
          <c:order val="3"/>
          <c:tx>
            <c:strRef>
              <c:f>Commulative!$I$1</c:f>
              <c:strCache>
                <c:ptCount val="1"/>
                <c:pt idx="0">
                  <c:v>Dataset</c:v>
                </c:pt>
              </c:strCache>
            </c:strRef>
          </c:tx>
          <c:spPr>
            <a:ln w="28575" cap="rnd">
              <a:solidFill>
                <a:schemeClr val="accent4"/>
              </a:solidFill>
              <a:round/>
            </a:ln>
            <a:effectLst/>
          </c:spPr>
          <c:marker>
            <c:symbol val="none"/>
          </c:marker>
          <c:val>
            <c:numRef>
              <c:f>Commulative!$I$2:$I$72</c:f>
              <c:numCache>
                <c:formatCode>General</c:formatCode>
                <c:ptCount val="71"/>
                <c:pt idx="0">
                  <c:v>17</c:v>
                </c:pt>
                <c:pt idx="1">
                  <c:v>17</c:v>
                </c:pt>
                <c:pt idx="2">
                  <c:v>17</c:v>
                </c:pt>
                <c:pt idx="3">
                  <c:v>17</c:v>
                </c:pt>
                <c:pt idx="4">
                  <c:v>17</c:v>
                </c:pt>
                <c:pt idx="5">
                  <c:v>17</c:v>
                </c:pt>
                <c:pt idx="6">
                  <c:v>16</c:v>
                </c:pt>
                <c:pt idx="7">
                  <c:v>16</c:v>
                </c:pt>
                <c:pt idx="8">
                  <c:v>16</c:v>
                </c:pt>
                <c:pt idx="9">
                  <c:v>16</c:v>
                </c:pt>
                <c:pt idx="10">
                  <c:v>15</c:v>
                </c:pt>
                <c:pt idx="11">
                  <c:v>14</c:v>
                </c:pt>
                <c:pt idx="12">
                  <c:v>14</c:v>
                </c:pt>
                <c:pt idx="13">
                  <c:v>14</c:v>
                </c:pt>
                <c:pt idx="14">
                  <c:v>14</c:v>
                </c:pt>
                <c:pt idx="15">
                  <c:v>14</c:v>
                </c:pt>
                <c:pt idx="16">
                  <c:v>14</c:v>
                </c:pt>
                <c:pt idx="17">
                  <c:v>13</c:v>
                </c:pt>
                <c:pt idx="18">
                  <c:v>13</c:v>
                </c:pt>
                <c:pt idx="19">
                  <c:v>13</c:v>
                </c:pt>
                <c:pt idx="20">
                  <c:v>13</c:v>
                </c:pt>
                <c:pt idx="21">
                  <c:v>13</c:v>
                </c:pt>
                <c:pt idx="22">
                  <c:v>12</c:v>
                </c:pt>
                <c:pt idx="23">
                  <c:v>12</c:v>
                </c:pt>
                <c:pt idx="24">
                  <c:v>12</c:v>
                </c:pt>
                <c:pt idx="25">
                  <c:v>12</c:v>
                </c:pt>
                <c:pt idx="26">
                  <c:v>11</c:v>
                </c:pt>
                <c:pt idx="27">
                  <c:v>11</c:v>
                </c:pt>
                <c:pt idx="28">
                  <c:v>11</c:v>
                </c:pt>
                <c:pt idx="29">
                  <c:v>11</c:v>
                </c:pt>
                <c:pt idx="30">
                  <c:v>11</c:v>
                </c:pt>
                <c:pt idx="31">
                  <c:v>11</c:v>
                </c:pt>
                <c:pt idx="32">
                  <c:v>11</c:v>
                </c:pt>
                <c:pt idx="33">
                  <c:v>11</c:v>
                </c:pt>
                <c:pt idx="34">
                  <c:v>11</c:v>
                </c:pt>
                <c:pt idx="35">
                  <c:v>11</c:v>
                </c:pt>
                <c:pt idx="36">
                  <c:v>10</c:v>
                </c:pt>
                <c:pt idx="37">
                  <c:v>10</c:v>
                </c:pt>
                <c:pt idx="38">
                  <c:v>10</c:v>
                </c:pt>
                <c:pt idx="39">
                  <c:v>10</c:v>
                </c:pt>
                <c:pt idx="40">
                  <c:v>9</c:v>
                </c:pt>
                <c:pt idx="41">
                  <c:v>9</c:v>
                </c:pt>
                <c:pt idx="42">
                  <c:v>9</c:v>
                </c:pt>
                <c:pt idx="43">
                  <c:v>9</c:v>
                </c:pt>
                <c:pt idx="44">
                  <c:v>9</c:v>
                </c:pt>
                <c:pt idx="45">
                  <c:v>8</c:v>
                </c:pt>
                <c:pt idx="46">
                  <c:v>7</c:v>
                </c:pt>
                <c:pt idx="47">
                  <c:v>7</c:v>
                </c:pt>
                <c:pt idx="48">
                  <c:v>7</c:v>
                </c:pt>
                <c:pt idx="49">
                  <c:v>6</c:v>
                </c:pt>
                <c:pt idx="50">
                  <c:v>5</c:v>
                </c:pt>
                <c:pt idx="51">
                  <c:v>5</c:v>
                </c:pt>
                <c:pt idx="52">
                  <c:v>5</c:v>
                </c:pt>
                <c:pt idx="53">
                  <c:v>4</c:v>
                </c:pt>
                <c:pt idx="54">
                  <c:v>4</c:v>
                </c:pt>
                <c:pt idx="55">
                  <c:v>4</c:v>
                </c:pt>
                <c:pt idx="56">
                  <c:v>4</c:v>
                </c:pt>
                <c:pt idx="57">
                  <c:v>3</c:v>
                </c:pt>
                <c:pt idx="58">
                  <c:v>3</c:v>
                </c:pt>
                <c:pt idx="59">
                  <c:v>2</c:v>
                </c:pt>
                <c:pt idx="60">
                  <c:v>1</c:v>
                </c:pt>
                <c:pt idx="61">
                  <c:v>1</c:v>
                </c:pt>
                <c:pt idx="62">
                  <c:v>0</c:v>
                </c:pt>
                <c:pt idx="63">
                  <c:v>0</c:v>
                </c:pt>
                <c:pt idx="64">
                  <c:v>0</c:v>
                </c:pt>
                <c:pt idx="65">
                  <c:v>0</c:v>
                </c:pt>
                <c:pt idx="66">
                  <c:v>0</c:v>
                </c:pt>
                <c:pt idx="67">
                  <c:v>0</c:v>
                </c:pt>
                <c:pt idx="68">
                  <c:v>0</c:v>
                </c:pt>
                <c:pt idx="69">
                  <c:v>0</c:v>
                </c:pt>
                <c:pt idx="70">
                  <c:v>0</c:v>
                </c:pt>
              </c:numCache>
            </c:numRef>
          </c:val>
          <c:smooth val="0"/>
          <c:extLst>
            <c:ext xmlns:c16="http://schemas.microsoft.com/office/drawing/2014/chart" uri="{C3380CC4-5D6E-409C-BE32-E72D297353CC}">
              <c16:uniqueId val="{00000003-232B-E64D-8A66-49EA06EAB129}"/>
            </c:ext>
          </c:extLst>
        </c:ser>
        <c:ser>
          <c:idx val="4"/>
          <c:order val="4"/>
          <c:tx>
            <c:strRef>
              <c:f>Commulative!$J$1</c:f>
              <c:strCache>
                <c:ptCount val="1"/>
                <c:pt idx="0">
                  <c:v>Training</c:v>
                </c:pt>
              </c:strCache>
            </c:strRef>
          </c:tx>
          <c:spPr>
            <a:ln w="28575" cap="rnd">
              <a:solidFill>
                <a:schemeClr val="accent5"/>
              </a:solidFill>
              <a:round/>
            </a:ln>
            <a:effectLst/>
          </c:spPr>
          <c:marker>
            <c:symbol val="none"/>
          </c:marker>
          <c:val>
            <c:numRef>
              <c:f>Commulative!$J$2:$J$72</c:f>
              <c:numCache>
                <c:formatCode>General</c:formatCode>
                <c:ptCount val="71"/>
                <c:pt idx="0">
                  <c:v>28</c:v>
                </c:pt>
                <c:pt idx="1">
                  <c:v>27</c:v>
                </c:pt>
                <c:pt idx="2">
                  <c:v>27</c:v>
                </c:pt>
                <c:pt idx="3">
                  <c:v>26</c:v>
                </c:pt>
                <c:pt idx="4">
                  <c:v>26</c:v>
                </c:pt>
                <c:pt idx="5">
                  <c:v>26</c:v>
                </c:pt>
                <c:pt idx="6">
                  <c:v>26</c:v>
                </c:pt>
                <c:pt idx="7">
                  <c:v>25</c:v>
                </c:pt>
                <c:pt idx="8">
                  <c:v>25</c:v>
                </c:pt>
                <c:pt idx="9">
                  <c:v>24</c:v>
                </c:pt>
                <c:pt idx="10">
                  <c:v>24</c:v>
                </c:pt>
                <c:pt idx="11">
                  <c:v>23</c:v>
                </c:pt>
                <c:pt idx="12">
                  <c:v>22</c:v>
                </c:pt>
                <c:pt idx="13">
                  <c:v>22</c:v>
                </c:pt>
                <c:pt idx="14">
                  <c:v>21</c:v>
                </c:pt>
                <c:pt idx="15">
                  <c:v>20</c:v>
                </c:pt>
                <c:pt idx="16">
                  <c:v>20</c:v>
                </c:pt>
                <c:pt idx="17">
                  <c:v>19</c:v>
                </c:pt>
                <c:pt idx="18">
                  <c:v>19</c:v>
                </c:pt>
                <c:pt idx="19">
                  <c:v>19</c:v>
                </c:pt>
                <c:pt idx="20">
                  <c:v>19</c:v>
                </c:pt>
                <c:pt idx="21">
                  <c:v>19</c:v>
                </c:pt>
                <c:pt idx="22">
                  <c:v>19</c:v>
                </c:pt>
                <c:pt idx="23">
                  <c:v>18</c:v>
                </c:pt>
                <c:pt idx="24">
                  <c:v>18</c:v>
                </c:pt>
                <c:pt idx="25">
                  <c:v>17</c:v>
                </c:pt>
                <c:pt idx="26">
                  <c:v>17</c:v>
                </c:pt>
                <c:pt idx="27">
                  <c:v>16</c:v>
                </c:pt>
                <c:pt idx="28">
                  <c:v>16</c:v>
                </c:pt>
                <c:pt idx="29">
                  <c:v>15</c:v>
                </c:pt>
                <c:pt idx="30">
                  <c:v>14</c:v>
                </c:pt>
                <c:pt idx="31">
                  <c:v>13</c:v>
                </c:pt>
                <c:pt idx="32">
                  <c:v>13</c:v>
                </c:pt>
                <c:pt idx="33">
                  <c:v>13</c:v>
                </c:pt>
                <c:pt idx="34">
                  <c:v>12</c:v>
                </c:pt>
                <c:pt idx="35">
                  <c:v>11</c:v>
                </c:pt>
                <c:pt idx="36">
                  <c:v>10</c:v>
                </c:pt>
                <c:pt idx="37">
                  <c:v>10</c:v>
                </c:pt>
                <c:pt idx="38">
                  <c:v>10</c:v>
                </c:pt>
                <c:pt idx="39">
                  <c:v>10</c:v>
                </c:pt>
                <c:pt idx="40">
                  <c:v>10</c:v>
                </c:pt>
                <c:pt idx="41">
                  <c:v>10</c:v>
                </c:pt>
                <c:pt idx="42">
                  <c:v>10</c:v>
                </c:pt>
                <c:pt idx="43">
                  <c:v>10</c:v>
                </c:pt>
                <c:pt idx="44">
                  <c:v>9</c:v>
                </c:pt>
                <c:pt idx="45">
                  <c:v>8</c:v>
                </c:pt>
                <c:pt idx="46">
                  <c:v>7</c:v>
                </c:pt>
                <c:pt idx="47">
                  <c:v>6</c:v>
                </c:pt>
                <c:pt idx="48">
                  <c:v>6</c:v>
                </c:pt>
                <c:pt idx="49">
                  <c:v>6</c:v>
                </c:pt>
                <c:pt idx="50">
                  <c:v>6</c:v>
                </c:pt>
                <c:pt idx="51">
                  <c:v>6</c:v>
                </c:pt>
                <c:pt idx="52">
                  <c:v>6</c:v>
                </c:pt>
                <c:pt idx="53">
                  <c:v>6</c:v>
                </c:pt>
                <c:pt idx="54">
                  <c:v>6</c:v>
                </c:pt>
                <c:pt idx="55">
                  <c:v>5</c:v>
                </c:pt>
                <c:pt idx="56">
                  <c:v>5</c:v>
                </c:pt>
                <c:pt idx="57">
                  <c:v>5</c:v>
                </c:pt>
                <c:pt idx="58">
                  <c:v>5</c:v>
                </c:pt>
                <c:pt idx="59">
                  <c:v>5</c:v>
                </c:pt>
                <c:pt idx="60">
                  <c:v>5</c:v>
                </c:pt>
                <c:pt idx="61">
                  <c:v>5</c:v>
                </c:pt>
                <c:pt idx="62">
                  <c:v>5</c:v>
                </c:pt>
                <c:pt idx="63">
                  <c:v>4</c:v>
                </c:pt>
                <c:pt idx="64">
                  <c:v>4</c:v>
                </c:pt>
                <c:pt idx="65">
                  <c:v>4</c:v>
                </c:pt>
                <c:pt idx="66">
                  <c:v>3</c:v>
                </c:pt>
                <c:pt idx="67">
                  <c:v>3</c:v>
                </c:pt>
                <c:pt idx="68">
                  <c:v>3</c:v>
                </c:pt>
                <c:pt idx="69">
                  <c:v>2</c:v>
                </c:pt>
                <c:pt idx="70">
                  <c:v>1</c:v>
                </c:pt>
              </c:numCache>
            </c:numRef>
          </c:val>
          <c:smooth val="0"/>
          <c:extLst>
            <c:ext xmlns:c16="http://schemas.microsoft.com/office/drawing/2014/chart" uri="{C3380CC4-5D6E-409C-BE32-E72D297353CC}">
              <c16:uniqueId val="{00000004-232B-E64D-8A66-49EA06EAB129}"/>
            </c:ext>
          </c:extLst>
        </c:ser>
        <c:ser>
          <c:idx val="5"/>
          <c:order val="5"/>
          <c:tx>
            <c:strRef>
              <c:f>Commulative!$K$1</c:f>
              <c:strCache>
                <c:ptCount val="1"/>
                <c:pt idx="0">
                  <c:v>Evaluation</c:v>
                </c:pt>
              </c:strCache>
            </c:strRef>
          </c:tx>
          <c:spPr>
            <a:ln w="28575" cap="rnd">
              <a:solidFill>
                <a:schemeClr val="accent6"/>
              </a:solidFill>
              <a:round/>
            </a:ln>
            <a:effectLst/>
          </c:spPr>
          <c:marker>
            <c:symbol val="none"/>
          </c:marker>
          <c:val>
            <c:numRef>
              <c:f>Commulative!$K$2:$K$72</c:f>
              <c:numCache>
                <c:formatCode>General</c:formatCode>
                <c:ptCount val="71"/>
                <c:pt idx="0">
                  <c:v>33</c:v>
                </c:pt>
                <c:pt idx="1">
                  <c:v>33</c:v>
                </c:pt>
                <c:pt idx="2">
                  <c:v>32</c:v>
                </c:pt>
                <c:pt idx="3">
                  <c:v>32</c:v>
                </c:pt>
                <c:pt idx="4">
                  <c:v>31</c:v>
                </c:pt>
                <c:pt idx="5">
                  <c:v>30</c:v>
                </c:pt>
                <c:pt idx="6">
                  <c:v>29</c:v>
                </c:pt>
                <c:pt idx="7">
                  <c:v>29</c:v>
                </c:pt>
                <c:pt idx="8">
                  <c:v>29</c:v>
                </c:pt>
                <c:pt idx="9">
                  <c:v>29</c:v>
                </c:pt>
                <c:pt idx="10">
                  <c:v>28</c:v>
                </c:pt>
                <c:pt idx="11">
                  <c:v>27</c:v>
                </c:pt>
                <c:pt idx="12">
                  <c:v>26</c:v>
                </c:pt>
                <c:pt idx="13">
                  <c:v>26</c:v>
                </c:pt>
                <c:pt idx="14">
                  <c:v>25</c:v>
                </c:pt>
                <c:pt idx="15">
                  <c:v>24</c:v>
                </c:pt>
                <c:pt idx="16">
                  <c:v>23</c:v>
                </c:pt>
                <c:pt idx="17">
                  <c:v>23</c:v>
                </c:pt>
                <c:pt idx="18">
                  <c:v>23</c:v>
                </c:pt>
                <c:pt idx="19">
                  <c:v>22</c:v>
                </c:pt>
                <c:pt idx="20">
                  <c:v>21</c:v>
                </c:pt>
                <c:pt idx="21">
                  <c:v>20</c:v>
                </c:pt>
                <c:pt idx="22">
                  <c:v>20</c:v>
                </c:pt>
                <c:pt idx="23">
                  <c:v>20</c:v>
                </c:pt>
                <c:pt idx="24">
                  <c:v>19</c:v>
                </c:pt>
                <c:pt idx="25">
                  <c:v>19</c:v>
                </c:pt>
                <c:pt idx="26">
                  <c:v>18</c:v>
                </c:pt>
                <c:pt idx="27">
                  <c:v>18</c:v>
                </c:pt>
                <c:pt idx="28">
                  <c:v>18</c:v>
                </c:pt>
                <c:pt idx="29">
                  <c:v>17</c:v>
                </c:pt>
                <c:pt idx="30">
                  <c:v>17</c:v>
                </c:pt>
                <c:pt idx="31">
                  <c:v>17</c:v>
                </c:pt>
                <c:pt idx="32">
                  <c:v>17</c:v>
                </c:pt>
                <c:pt idx="33">
                  <c:v>16</c:v>
                </c:pt>
                <c:pt idx="34">
                  <c:v>16</c:v>
                </c:pt>
                <c:pt idx="35">
                  <c:v>16</c:v>
                </c:pt>
                <c:pt idx="36">
                  <c:v>15</c:v>
                </c:pt>
                <c:pt idx="37">
                  <c:v>15</c:v>
                </c:pt>
                <c:pt idx="38">
                  <c:v>14</c:v>
                </c:pt>
                <c:pt idx="39">
                  <c:v>14</c:v>
                </c:pt>
                <c:pt idx="40">
                  <c:v>14</c:v>
                </c:pt>
                <c:pt idx="41">
                  <c:v>13</c:v>
                </c:pt>
                <c:pt idx="42">
                  <c:v>13</c:v>
                </c:pt>
                <c:pt idx="43">
                  <c:v>12</c:v>
                </c:pt>
                <c:pt idx="44">
                  <c:v>12</c:v>
                </c:pt>
                <c:pt idx="45">
                  <c:v>11</c:v>
                </c:pt>
                <c:pt idx="46">
                  <c:v>11</c:v>
                </c:pt>
                <c:pt idx="47">
                  <c:v>11</c:v>
                </c:pt>
                <c:pt idx="48">
                  <c:v>10</c:v>
                </c:pt>
                <c:pt idx="49">
                  <c:v>9</c:v>
                </c:pt>
                <c:pt idx="50">
                  <c:v>8</c:v>
                </c:pt>
                <c:pt idx="51">
                  <c:v>7</c:v>
                </c:pt>
                <c:pt idx="52">
                  <c:v>7</c:v>
                </c:pt>
                <c:pt idx="53">
                  <c:v>6</c:v>
                </c:pt>
                <c:pt idx="54">
                  <c:v>5</c:v>
                </c:pt>
                <c:pt idx="55">
                  <c:v>5</c:v>
                </c:pt>
                <c:pt idx="56">
                  <c:v>5</c:v>
                </c:pt>
                <c:pt idx="57">
                  <c:v>5</c:v>
                </c:pt>
                <c:pt idx="58">
                  <c:v>4</c:v>
                </c:pt>
                <c:pt idx="59">
                  <c:v>4</c:v>
                </c:pt>
                <c:pt idx="60">
                  <c:v>4</c:v>
                </c:pt>
                <c:pt idx="61">
                  <c:v>3</c:v>
                </c:pt>
                <c:pt idx="62">
                  <c:v>3</c:v>
                </c:pt>
                <c:pt idx="63">
                  <c:v>3</c:v>
                </c:pt>
                <c:pt idx="64">
                  <c:v>3</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5-232B-E64D-8A66-49EA06EAB129}"/>
            </c:ext>
          </c:extLst>
        </c:ser>
        <c:ser>
          <c:idx val="6"/>
          <c:order val="6"/>
          <c:tx>
            <c:strRef>
              <c:f>Commulative!$L$1</c:f>
              <c:strCache>
                <c:ptCount val="1"/>
                <c:pt idx="0">
                  <c:v>Shared-task\effort</c:v>
                </c:pt>
              </c:strCache>
            </c:strRef>
          </c:tx>
          <c:spPr>
            <a:ln w="28575" cap="rnd">
              <a:solidFill>
                <a:schemeClr val="accent1">
                  <a:lumMod val="60000"/>
                </a:schemeClr>
              </a:solidFill>
              <a:round/>
            </a:ln>
            <a:effectLst/>
          </c:spPr>
          <c:marker>
            <c:symbol val="none"/>
          </c:marker>
          <c:val>
            <c:numRef>
              <c:f>Commulative!$L$2:$L$72</c:f>
              <c:numCache>
                <c:formatCode>General</c:formatCode>
                <c:ptCount val="71"/>
                <c:pt idx="0">
                  <c:v>15</c:v>
                </c:pt>
                <c:pt idx="1">
                  <c:v>15</c:v>
                </c:pt>
                <c:pt idx="2">
                  <c:v>15</c:v>
                </c:pt>
                <c:pt idx="3">
                  <c:v>15</c:v>
                </c:pt>
                <c:pt idx="4">
                  <c:v>15</c:v>
                </c:pt>
                <c:pt idx="5">
                  <c:v>15</c:v>
                </c:pt>
                <c:pt idx="6">
                  <c:v>14</c:v>
                </c:pt>
                <c:pt idx="7">
                  <c:v>14</c:v>
                </c:pt>
                <c:pt idx="8">
                  <c:v>13</c:v>
                </c:pt>
                <c:pt idx="9">
                  <c:v>12</c:v>
                </c:pt>
                <c:pt idx="10">
                  <c:v>12</c:v>
                </c:pt>
                <c:pt idx="11">
                  <c:v>12</c:v>
                </c:pt>
                <c:pt idx="12">
                  <c:v>12</c:v>
                </c:pt>
                <c:pt idx="13">
                  <c:v>12</c:v>
                </c:pt>
                <c:pt idx="14">
                  <c:v>12</c:v>
                </c:pt>
                <c:pt idx="15">
                  <c:v>12</c:v>
                </c:pt>
                <c:pt idx="16">
                  <c:v>12</c:v>
                </c:pt>
                <c:pt idx="17">
                  <c:v>12</c:v>
                </c:pt>
                <c:pt idx="18">
                  <c:v>12</c:v>
                </c:pt>
                <c:pt idx="19">
                  <c:v>12</c:v>
                </c:pt>
                <c:pt idx="20">
                  <c:v>12</c:v>
                </c:pt>
                <c:pt idx="21">
                  <c:v>12</c:v>
                </c:pt>
                <c:pt idx="22">
                  <c:v>12</c:v>
                </c:pt>
                <c:pt idx="23">
                  <c:v>12</c:v>
                </c:pt>
                <c:pt idx="24">
                  <c:v>12</c:v>
                </c:pt>
                <c:pt idx="25">
                  <c:v>12</c:v>
                </c:pt>
                <c:pt idx="26">
                  <c:v>12</c:v>
                </c:pt>
                <c:pt idx="27">
                  <c:v>12</c:v>
                </c:pt>
                <c:pt idx="28">
                  <c:v>12</c:v>
                </c:pt>
                <c:pt idx="29">
                  <c:v>12</c:v>
                </c:pt>
                <c:pt idx="30">
                  <c:v>12</c:v>
                </c:pt>
                <c:pt idx="31">
                  <c:v>12</c:v>
                </c:pt>
                <c:pt idx="32">
                  <c:v>12</c:v>
                </c:pt>
                <c:pt idx="33">
                  <c:v>12</c:v>
                </c:pt>
                <c:pt idx="34">
                  <c:v>12</c:v>
                </c:pt>
                <c:pt idx="35">
                  <c:v>12</c:v>
                </c:pt>
                <c:pt idx="36">
                  <c:v>11</c:v>
                </c:pt>
                <c:pt idx="37">
                  <c:v>11</c:v>
                </c:pt>
                <c:pt idx="38">
                  <c:v>11</c:v>
                </c:pt>
                <c:pt idx="39">
                  <c:v>11</c:v>
                </c:pt>
                <c:pt idx="40">
                  <c:v>11</c:v>
                </c:pt>
                <c:pt idx="41">
                  <c:v>10</c:v>
                </c:pt>
                <c:pt idx="42">
                  <c:v>10</c:v>
                </c:pt>
                <c:pt idx="43">
                  <c:v>10</c:v>
                </c:pt>
                <c:pt idx="44">
                  <c:v>10</c:v>
                </c:pt>
                <c:pt idx="45">
                  <c:v>9</c:v>
                </c:pt>
                <c:pt idx="46">
                  <c:v>9</c:v>
                </c:pt>
                <c:pt idx="47">
                  <c:v>9</c:v>
                </c:pt>
                <c:pt idx="48">
                  <c:v>9</c:v>
                </c:pt>
                <c:pt idx="49">
                  <c:v>9</c:v>
                </c:pt>
                <c:pt idx="50">
                  <c:v>8</c:v>
                </c:pt>
                <c:pt idx="51">
                  <c:v>8</c:v>
                </c:pt>
                <c:pt idx="52">
                  <c:v>8</c:v>
                </c:pt>
                <c:pt idx="53">
                  <c:v>8</c:v>
                </c:pt>
                <c:pt idx="54">
                  <c:v>8</c:v>
                </c:pt>
                <c:pt idx="55">
                  <c:v>8</c:v>
                </c:pt>
                <c:pt idx="56">
                  <c:v>8</c:v>
                </c:pt>
                <c:pt idx="57">
                  <c:v>8</c:v>
                </c:pt>
                <c:pt idx="58">
                  <c:v>8</c:v>
                </c:pt>
                <c:pt idx="59">
                  <c:v>7</c:v>
                </c:pt>
                <c:pt idx="60">
                  <c:v>7</c:v>
                </c:pt>
                <c:pt idx="61">
                  <c:v>7</c:v>
                </c:pt>
                <c:pt idx="62">
                  <c:v>7</c:v>
                </c:pt>
                <c:pt idx="63">
                  <c:v>6</c:v>
                </c:pt>
                <c:pt idx="64">
                  <c:v>5</c:v>
                </c:pt>
                <c:pt idx="65">
                  <c:v>4</c:v>
                </c:pt>
                <c:pt idx="66">
                  <c:v>4</c:v>
                </c:pt>
                <c:pt idx="67">
                  <c:v>4</c:v>
                </c:pt>
                <c:pt idx="68">
                  <c:v>3</c:v>
                </c:pt>
                <c:pt idx="69">
                  <c:v>2</c:v>
                </c:pt>
                <c:pt idx="70">
                  <c:v>1</c:v>
                </c:pt>
              </c:numCache>
            </c:numRef>
          </c:val>
          <c:smooth val="0"/>
          <c:extLst>
            <c:ext xmlns:c16="http://schemas.microsoft.com/office/drawing/2014/chart" uri="{C3380CC4-5D6E-409C-BE32-E72D297353CC}">
              <c16:uniqueId val="{00000006-232B-E64D-8A66-49EA06EAB129}"/>
            </c:ext>
          </c:extLst>
        </c:ser>
        <c:ser>
          <c:idx val="7"/>
          <c:order val="7"/>
          <c:tx>
            <c:strRef>
              <c:f>Commulative!$M$1</c:f>
              <c:strCache>
                <c:ptCount val="1"/>
                <c:pt idx="0">
                  <c:v>Language&amp;Cognition</c:v>
                </c:pt>
              </c:strCache>
            </c:strRef>
          </c:tx>
          <c:spPr>
            <a:ln w="28575" cap="rnd">
              <a:solidFill>
                <a:schemeClr val="accent2">
                  <a:lumMod val="60000"/>
                </a:schemeClr>
              </a:solidFill>
              <a:round/>
            </a:ln>
            <a:effectLst/>
          </c:spPr>
          <c:marker>
            <c:symbol val="none"/>
          </c:marker>
          <c:val>
            <c:numRef>
              <c:f>Commulative!$M$2:$M$72</c:f>
              <c:numCache>
                <c:formatCode>General</c:formatCode>
                <c:ptCount val="71"/>
                <c:pt idx="0">
                  <c:v>30</c:v>
                </c:pt>
                <c:pt idx="1">
                  <c:v>30</c:v>
                </c:pt>
                <c:pt idx="2">
                  <c:v>29</c:v>
                </c:pt>
                <c:pt idx="3">
                  <c:v>28</c:v>
                </c:pt>
                <c:pt idx="4">
                  <c:v>27</c:v>
                </c:pt>
                <c:pt idx="5">
                  <c:v>26</c:v>
                </c:pt>
                <c:pt idx="6">
                  <c:v>25</c:v>
                </c:pt>
                <c:pt idx="7">
                  <c:v>24</c:v>
                </c:pt>
                <c:pt idx="8">
                  <c:v>23</c:v>
                </c:pt>
                <c:pt idx="9">
                  <c:v>22</c:v>
                </c:pt>
                <c:pt idx="10">
                  <c:v>21</c:v>
                </c:pt>
                <c:pt idx="11">
                  <c:v>20</c:v>
                </c:pt>
                <c:pt idx="12">
                  <c:v>19</c:v>
                </c:pt>
                <c:pt idx="13">
                  <c:v>19</c:v>
                </c:pt>
                <c:pt idx="14">
                  <c:v>19</c:v>
                </c:pt>
                <c:pt idx="15">
                  <c:v>19</c:v>
                </c:pt>
                <c:pt idx="16">
                  <c:v>18</c:v>
                </c:pt>
                <c:pt idx="17">
                  <c:v>17</c:v>
                </c:pt>
                <c:pt idx="18">
                  <c:v>17</c:v>
                </c:pt>
                <c:pt idx="19">
                  <c:v>17</c:v>
                </c:pt>
                <c:pt idx="20">
                  <c:v>17</c:v>
                </c:pt>
                <c:pt idx="21">
                  <c:v>16</c:v>
                </c:pt>
                <c:pt idx="22">
                  <c:v>16</c:v>
                </c:pt>
                <c:pt idx="23">
                  <c:v>16</c:v>
                </c:pt>
                <c:pt idx="24">
                  <c:v>16</c:v>
                </c:pt>
                <c:pt idx="25">
                  <c:v>15</c:v>
                </c:pt>
                <c:pt idx="26">
                  <c:v>14</c:v>
                </c:pt>
                <c:pt idx="27">
                  <c:v>14</c:v>
                </c:pt>
                <c:pt idx="28">
                  <c:v>13</c:v>
                </c:pt>
                <c:pt idx="29">
                  <c:v>13</c:v>
                </c:pt>
                <c:pt idx="30">
                  <c:v>13</c:v>
                </c:pt>
                <c:pt idx="31">
                  <c:v>12</c:v>
                </c:pt>
                <c:pt idx="32">
                  <c:v>11</c:v>
                </c:pt>
                <c:pt idx="33">
                  <c:v>11</c:v>
                </c:pt>
                <c:pt idx="34">
                  <c:v>11</c:v>
                </c:pt>
                <c:pt idx="35">
                  <c:v>11</c:v>
                </c:pt>
                <c:pt idx="36">
                  <c:v>10</c:v>
                </c:pt>
                <c:pt idx="37">
                  <c:v>10</c:v>
                </c:pt>
                <c:pt idx="38">
                  <c:v>9</c:v>
                </c:pt>
                <c:pt idx="39">
                  <c:v>9</c:v>
                </c:pt>
                <c:pt idx="40">
                  <c:v>8</c:v>
                </c:pt>
                <c:pt idx="41">
                  <c:v>7</c:v>
                </c:pt>
                <c:pt idx="42">
                  <c:v>7</c:v>
                </c:pt>
                <c:pt idx="43">
                  <c:v>7</c:v>
                </c:pt>
                <c:pt idx="44">
                  <c:v>7</c:v>
                </c:pt>
                <c:pt idx="45">
                  <c:v>6</c:v>
                </c:pt>
                <c:pt idx="46">
                  <c:v>6</c:v>
                </c:pt>
                <c:pt idx="47">
                  <c:v>6</c:v>
                </c:pt>
                <c:pt idx="48">
                  <c:v>6</c:v>
                </c:pt>
                <c:pt idx="49">
                  <c:v>5</c:v>
                </c:pt>
                <c:pt idx="50">
                  <c:v>5</c:v>
                </c:pt>
                <c:pt idx="51">
                  <c:v>5</c:v>
                </c:pt>
                <c:pt idx="52">
                  <c:v>5</c:v>
                </c:pt>
                <c:pt idx="53">
                  <c:v>4</c:v>
                </c:pt>
                <c:pt idx="54">
                  <c:v>4</c:v>
                </c:pt>
                <c:pt idx="55">
                  <c:v>4</c:v>
                </c:pt>
                <c:pt idx="56">
                  <c:v>4</c:v>
                </c:pt>
                <c:pt idx="57">
                  <c:v>4</c:v>
                </c:pt>
                <c:pt idx="58">
                  <c:v>4</c:v>
                </c:pt>
                <c:pt idx="59">
                  <c:v>3</c:v>
                </c:pt>
                <c:pt idx="60">
                  <c:v>2</c:v>
                </c:pt>
                <c:pt idx="61">
                  <c:v>2</c:v>
                </c:pt>
                <c:pt idx="62">
                  <c:v>2</c:v>
                </c:pt>
                <c:pt idx="63">
                  <c:v>1</c:v>
                </c:pt>
                <c:pt idx="64">
                  <c:v>1</c:v>
                </c:pt>
                <c:pt idx="65">
                  <c:v>1</c:v>
                </c:pt>
                <c:pt idx="66">
                  <c:v>1</c:v>
                </c:pt>
                <c:pt idx="67">
                  <c:v>1</c:v>
                </c:pt>
                <c:pt idx="68">
                  <c:v>1</c:v>
                </c:pt>
                <c:pt idx="69">
                  <c:v>0</c:v>
                </c:pt>
                <c:pt idx="70">
                  <c:v>0</c:v>
                </c:pt>
              </c:numCache>
            </c:numRef>
          </c:val>
          <c:smooth val="0"/>
          <c:extLst>
            <c:ext xmlns:c16="http://schemas.microsoft.com/office/drawing/2014/chart" uri="{C3380CC4-5D6E-409C-BE32-E72D297353CC}">
              <c16:uniqueId val="{00000007-232B-E64D-8A66-49EA06EAB129}"/>
            </c:ext>
          </c:extLst>
        </c:ser>
        <c:ser>
          <c:idx val="8"/>
          <c:order val="8"/>
          <c:tx>
            <c:strRef>
              <c:f>Commulative!$N$1</c:f>
              <c:strCache>
                <c:ptCount val="1"/>
                <c:pt idx="0">
                  <c:v>Open</c:v>
                </c:pt>
              </c:strCache>
            </c:strRef>
          </c:tx>
          <c:spPr>
            <a:ln w="28575" cap="rnd">
              <a:solidFill>
                <a:schemeClr val="accent3">
                  <a:lumMod val="60000"/>
                </a:schemeClr>
              </a:solidFill>
              <a:round/>
            </a:ln>
            <a:effectLst/>
          </c:spPr>
          <c:marker>
            <c:symbol val="none"/>
          </c:marker>
          <c:val>
            <c:numRef>
              <c:f>Commulative!$N$2:$N$72</c:f>
              <c:numCache>
                <c:formatCode>General</c:formatCode>
                <c:ptCount val="71"/>
                <c:pt idx="0">
                  <c:v>27</c:v>
                </c:pt>
                <c:pt idx="1">
                  <c:v>27</c:v>
                </c:pt>
                <c:pt idx="2">
                  <c:v>27</c:v>
                </c:pt>
                <c:pt idx="3">
                  <c:v>27</c:v>
                </c:pt>
                <c:pt idx="4">
                  <c:v>27</c:v>
                </c:pt>
                <c:pt idx="5">
                  <c:v>27</c:v>
                </c:pt>
                <c:pt idx="6">
                  <c:v>26</c:v>
                </c:pt>
                <c:pt idx="7">
                  <c:v>26</c:v>
                </c:pt>
                <c:pt idx="8">
                  <c:v>26</c:v>
                </c:pt>
                <c:pt idx="9">
                  <c:v>26</c:v>
                </c:pt>
                <c:pt idx="10">
                  <c:v>26</c:v>
                </c:pt>
                <c:pt idx="11">
                  <c:v>26</c:v>
                </c:pt>
                <c:pt idx="12">
                  <c:v>26</c:v>
                </c:pt>
                <c:pt idx="13">
                  <c:v>26</c:v>
                </c:pt>
                <c:pt idx="14">
                  <c:v>26</c:v>
                </c:pt>
                <c:pt idx="15">
                  <c:v>25</c:v>
                </c:pt>
                <c:pt idx="16">
                  <c:v>25</c:v>
                </c:pt>
                <c:pt idx="17">
                  <c:v>25</c:v>
                </c:pt>
                <c:pt idx="18">
                  <c:v>25</c:v>
                </c:pt>
                <c:pt idx="19">
                  <c:v>25</c:v>
                </c:pt>
                <c:pt idx="20">
                  <c:v>25</c:v>
                </c:pt>
                <c:pt idx="21">
                  <c:v>25</c:v>
                </c:pt>
                <c:pt idx="22">
                  <c:v>24</c:v>
                </c:pt>
                <c:pt idx="23">
                  <c:v>23</c:v>
                </c:pt>
                <c:pt idx="24">
                  <c:v>22</c:v>
                </c:pt>
                <c:pt idx="25">
                  <c:v>22</c:v>
                </c:pt>
                <c:pt idx="26">
                  <c:v>21</c:v>
                </c:pt>
                <c:pt idx="27">
                  <c:v>21</c:v>
                </c:pt>
                <c:pt idx="28">
                  <c:v>21</c:v>
                </c:pt>
                <c:pt idx="29">
                  <c:v>20</c:v>
                </c:pt>
                <c:pt idx="30">
                  <c:v>20</c:v>
                </c:pt>
                <c:pt idx="31">
                  <c:v>20</c:v>
                </c:pt>
                <c:pt idx="32">
                  <c:v>20</c:v>
                </c:pt>
                <c:pt idx="33">
                  <c:v>20</c:v>
                </c:pt>
                <c:pt idx="34">
                  <c:v>20</c:v>
                </c:pt>
                <c:pt idx="35">
                  <c:v>19</c:v>
                </c:pt>
                <c:pt idx="36">
                  <c:v>18</c:v>
                </c:pt>
                <c:pt idx="37">
                  <c:v>18</c:v>
                </c:pt>
                <c:pt idx="38">
                  <c:v>18</c:v>
                </c:pt>
                <c:pt idx="39">
                  <c:v>17</c:v>
                </c:pt>
                <c:pt idx="40">
                  <c:v>16</c:v>
                </c:pt>
                <c:pt idx="41">
                  <c:v>15</c:v>
                </c:pt>
                <c:pt idx="42">
                  <c:v>15</c:v>
                </c:pt>
                <c:pt idx="43">
                  <c:v>15</c:v>
                </c:pt>
                <c:pt idx="44">
                  <c:v>15</c:v>
                </c:pt>
                <c:pt idx="45">
                  <c:v>14</c:v>
                </c:pt>
                <c:pt idx="46">
                  <c:v>14</c:v>
                </c:pt>
                <c:pt idx="47">
                  <c:v>14</c:v>
                </c:pt>
                <c:pt idx="48">
                  <c:v>13</c:v>
                </c:pt>
                <c:pt idx="49">
                  <c:v>12</c:v>
                </c:pt>
                <c:pt idx="50">
                  <c:v>11</c:v>
                </c:pt>
                <c:pt idx="51">
                  <c:v>10</c:v>
                </c:pt>
                <c:pt idx="52">
                  <c:v>9</c:v>
                </c:pt>
                <c:pt idx="53">
                  <c:v>9</c:v>
                </c:pt>
                <c:pt idx="54">
                  <c:v>9</c:v>
                </c:pt>
                <c:pt idx="55">
                  <c:v>9</c:v>
                </c:pt>
                <c:pt idx="56">
                  <c:v>9</c:v>
                </c:pt>
                <c:pt idx="57">
                  <c:v>9</c:v>
                </c:pt>
                <c:pt idx="58">
                  <c:v>9</c:v>
                </c:pt>
                <c:pt idx="59">
                  <c:v>8</c:v>
                </c:pt>
                <c:pt idx="60">
                  <c:v>7</c:v>
                </c:pt>
                <c:pt idx="61">
                  <c:v>6</c:v>
                </c:pt>
                <c:pt idx="62">
                  <c:v>6</c:v>
                </c:pt>
                <c:pt idx="63">
                  <c:v>5</c:v>
                </c:pt>
                <c:pt idx="64">
                  <c:v>4</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8-232B-E64D-8A66-49EA06EAB129}"/>
            </c:ext>
          </c:extLst>
        </c:ser>
        <c:ser>
          <c:idx val="9"/>
          <c:order val="9"/>
          <c:tx>
            <c:strRef>
              <c:f>Commulative!$O$1</c:f>
              <c:strCache>
                <c:ptCount val="1"/>
                <c:pt idx="0">
                  <c:v>Meta-science</c:v>
                </c:pt>
              </c:strCache>
            </c:strRef>
          </c:tx>
          <c:spPr>
            <a:ln w="28575" cap="rnd">
              <a:solidFill>
                <a:schemeClr val="accent4">
                  <a:lumMod val="60000"/>
                </a:schemeClr>
              </a:solidFill>
              <a:round/>
            </a:ln>
            <a:effectLst/>
          </c:spPr>
          <c:marker>
            <c:symbol val="none"/>
          </c:marker>
          <c:val>
            <c:numRef>
              <c:f>Commulative!$O$2:$O$72</c:f>
              <c:numCache>
                <c:formatCode>General</c:formatCode>
                <c:ptCount val="71"/>
                <c:pt idx="0">
                  <c:v>30</c:v>
                </c:pt>
                <c:pt idx="1">
                  <c:v>30</c:v>
                </c:pt>
                <c:pt idx="2">
                  <c:v>30</c:v>
                </c:pt>
                <c:pt idx="3">
                  <c:v>30</c:v>
                </c:pt>
                <c:pt idx="4">
                  <c:v>29</c:v>
                </c:pt>
                <c:pt idx="5">
                  <c:v>28</c:v>
                </c:pt>
                <c:pt idx="6">
                  <c:v>27</c:v>
                </c:pt>
                <c:pt idx="7">
                  <c:v>27</c:v>
                </c:pt>
                <c:pt idx="8">
                  <c:v>26</c:v>
                </c:pt>
                <c:pt idx="9">
                  <c:v>25</c:v>
                </c:pt>
                <c:pt idx="10">
                  <c:v>24</c:v>
                </c:pt>
                <c:pt idx="11">
                  <c:v>24</c:v>
                </c:pt>
                <c:pt idx="12">
                  <c:v>23</c:v>
                </c:pt>
                <c:pt idx="13">
                  <c:v>23</c:v>
                </c:pt>
                <c:pt idx="14">
                  <c:v>22</c:v>
                </c:pt>
                <c:pt idx="15">
                  <c:v>22</c:v>
                </c:pt>
                <c:pt idx="16">
                  <c:v>22</c:v>
                </c:pt>
                <c:pt idx="17">
                  <c:v>22</c:v>
                </c:pt>
                <c:pt idx="18">
                  <c:v>21</c:v>
                </c:pt>
                <c:pt idx="19">
                  <c:v>20</c:v>
                </c:pt>
                <c:pt idx="20">
                  <c:v>20</c:v>
                </c:pt>
                <c:pt idx="21">
                  <c:v>20</c:v>
                </c:pt>
                <c:pt idx="22">
                  <c:v>20</c:v>
                </c:pt>
                <c:pt idx="23">
                  <c:v>19</c:v>
                </c:pt>
                <c:pt idx="24">
                  <c:v>19</c:v>
                </c:pt>
                <c:pt idx="25">
                  <c:v>19</c:v>
                </c:pt>
                <c:pt idx="26">
                  <c:v>18</c:v>
                </c:pt>
                <c:pt idx="27">
                  <c:v>18</c:v>
                </c:pt>
                <c:pt idx="28">
                  <c:v>18</c:v>
                </c:pt>
                <c:pt idx="29">
                  <c:v>18</c:v>
                </c:pt>
                <c:pt idx="30">
                  <c:v>18</c:v>
                </c:pt>
                <c:pt idx="31">
                  <c:v>18</c:v>
                </c:pt>
                <c:pt idx="32">
                  <c:v>18</c:v>
                </c:pt>
                <c:pt idx="33">
                  <c:v>18</c:v>
                </c:pt>
                <c:pt idx="34">
                  <c:v>18</c:v>
                </c:pt>
                <c:pt idx="35">
                  <c:v>17</c:v>
                </c:pt>
                <c:pt idx="36">
                  <c:v>16</c:v>
                </c:pt>
                <c:pt idx="37">
                  <c:v>16</c:v>
                </c:pt>
                <c:pt idx="38">
                  <c:v>16</c:v>
                </c:pt>
                <c:pt idx="39">
                  <c:v>16</c:v>
                </c:pt>
                <c:pt idx="40">
                  <c:v>16</c:v>
                </c:pt>
                <c:pt idx="41">
                  <c:v>15</c:v>
                </c:pt>
                <c:pt idx="42">
                  <c:v>15</c:v>
                </c:pt>
                <c:pt idx="43">
                  <c:v>14</c:v>
                </c:pt>
                <c:pt idx="44">
                  <c:v>14</c:v>
                </c:pt>
                <c:pt idx="45">
                  <c:v>13</c:v>
                </c:pt>
                <c:pt idx="46">
                  <c:v>13</c:v>
                </c:pt>
                <c:pt idx="47">
                  <c:v>13</c:v>
                </c:pt>
                <c:pt idx="48">
                  <c:v>13</c:v>
                </c:pt>
                <c:pt idx="49">
                  <c:v>12</c:v>
                </c:pt>
                <c:pt idx="50">
                  <c:v>12</c:v>
                </c:pt>
                <c:pt idx="51">
                  <c:v>11</c:v>
                </c:pt>
                <c:pt idx="52">
                  <c:v>10</c:v>
                </c:pt>
                <c:pt idx="53">
                  <c:v>10</c:v>
                </c:pt>
                <c:pt idx="54">
                  <c:v>10</c:v>
                </c:pt>
                <c:pt idx="55">
                  <c:v>10</c:v>
                </c:pt>
                <c:pt idx="56">
                  <c:v>10</c:v>
                </c:pt>
                <c:pt idx="57">
                  <c:v>10</c:v>
                </c:pt>
                <c:pt idx="58">
                  <c:v>9</c:v>
                </c:pt>
                <c:pt idx="59">
                  <c:v>8</c:v>
                </c:pt>
                <c:pt idx="60">
                  <c:v>8</c:v>
                </c:pt>
                <c:pt idx="61">
                  <c:v>7</c:v>
                </c:pt>
                <c:pt idx="62">
                  <c:v>7</c:v>
                </c:pt>
                <c:pt idx="63">
                  <c:v>6</c:v>
                </c:pt>
                <c:pt idx="64">
                  <c:v>5</c:v>
                </c:pt>
                <c:pt idx="65">
                  <c:v>4</c:v>
                </c:pt>
                <c:pt idx="66">
                  <c:v>4</c:v>
                </c:pt>
                <c:pt idx="67">
                  <c:v>4</c:v>
                </c:pt>
                <c:pt idx="68">
                  <c:v>3</c:v>
                </c:pt>
                <c:pt idx="69">
                  <c:v>2</c:v>
                </c:pt>
                <c:pt idx="70">
                  <c:v>1</c:v>
                </c:pt>
              </c:numCache>
            </c:numRef>
          </c:val>
          <c:smooth val="0"/>
          <c:extLst>
            <c:ext xmlns:c16="http://schemas.microsoft.com/office/drawing/2014/chart" uri="{C3380CC4-5D6E-409C-BE32-E72D297353CC}">
              <c16:uniqueId val="{00000009-232B-E64D-8A66-49EA06EAB129}"/>
            </c:ext>
          </c:extLst>
        </c:ser>
        <c:ser>
          <c:idx val="10"/>
          <c:order val="10"/>
          <c:tx>
            <c:strRef>
              <c:f>Commulative!$P$1</c:f>
              <c:strCache>
                <c:ptCount val="1"/>
                <c:pt idx="0">
                  <c:v>Enabling Low Budget Research</c:v>
                </c:pt>
              </c:strCache>
            </c:strRef>
          </c:tx>
          <c:spPr>
            <a:ln w="28575" cap="rnd">
              <a:solidFill>
                <a:schemeClr val="accent5">
                  <a:lumMod val="60000"/>
                </a:schemeClr>
              </a:solidFill>
              <a:round/>
            </a:ln>
            <a:effectLst/>
          </c:spPr>
          <c:marker>
            <c:symbol val="none"/>
          </c:marker>
          <c:val>
            <c:numRef>
              <c:f>Commulative!$P$2:$P$72</c:f>
              <c:numCache>
                <c:formatCode>General</c:formatCode>
                <c:ptCount val="71"/>
                <c:pt idx="0">
                  <c:v>29</c:v>
                </c:pt>
                <c:pt idx="1">
                  <c:v>29</c:v>
                </c:pt>
                <c:pt idx="2">
                  <c:v>29</c:v>
                </c:pt>
                <c:pt idx="3">
                  <c:v>29</c:v>
                </c:pt>
                <c:pt idx="4">
                  <c:v>28</c:v>
                </c:pt>
                <c:pt idx="5">
                  <c:v>28</c:v>
                </c:pt>
                <c:pt idx="6">
                  <c:v>27</c:v>
                </c:pt>
                <c:pt idx="7">
                  <c:v>27</c:v>
                </c:pt>
                <c:pt idx="8">
                  <c:v>27</c:v>
                </c:pt>
                <c:pt idx="9">
                  <c:v>26</c:v>
                </c:pt>
                <c:pt idx="10">
                  <c:v>25</c:v>
                </c:pt>
                <c:pt idx="11">
                  <c:v>25</c:v>
                </c:pt>
                <c:pt idx="12">
                  <c:v>25</c:v>
                </c:pt>
                <c:pt idx="13">
                  <c:v>25</c:v>
                </c:pt>
                <c:pt idx="14">
                  <c:v>25</c:v>
                </c:pt>
                <c:pt idx="15">
                  <c:v>24</c:v>
                </c:pt>
                <c:pt idx="16">
                  <c:v>24</c:v>
                </c:pt>
                <c:pt idx="17">
                  <c:v>24</c:v>
                </c:pt>
                <c:pt idx="18">
                  <c:v>24</c:v>
                </c:pt>
                <c:pt idx="19">
                  <c:v>23</c:v>
                </c:pt>
                <c:pt idx="20">
                  <c:v>23</c:v>
                </c:pt>
                <c:pt idx="21">
                  <c:v>23</c:v>
                </c:pt>
                <c:pt idx="22">
                  <c:v>23</c:v>
                </c:pt>
                <c:pt idx="23">
                  <c:v>22</c:v>
                </c:pt>
                <c:pt idx="24">
                  <c:v>21</c:v>
                </c:pt>
                <c:pt idx="25">
                  <c:v>21</c:v>
                </c:pt>
                <c:pt idx="26">
                  <c:v>21</c:v>
                </c:pt>
                <c:pt idx="27">
                  <c:v>21</c:v>
                </c:pt>
                <c:pt idx="28">
                  <c:v>21</c:v>
                </c:pt>
                <c:pt idx="29">
                  <c:v>20</c:v>
                </c:pt>
                <c:pt idx="30">
                  <c:v>20</c:v>
                </c:pt>
                <c:pt idx="31">
                  <c:v>20</c:v>
                </c:pt>
                <c:pt idx="32">
                  <c:v>20</c:v>
                </c:pt>
                <c:pt idx="33">
                  <c:v>20</c:v>
                </c:pt>
                <c:pt idx="34">
                  <c:v>20</c:v>
                </c:pt>
                <c:pt idx="35">
                  <c:v>19</c:v>
                </c:pt>
                <c:pt idx="36">
                  <c:v>18</c:v>
                </c:pt>
                <c:pt idx="37">
                  <c:v>18</c:v>
                </c:pt>
                <c:pt idx="38">
                  <c:v>18</c:v>
                </c:pt>
                <c:pt idx="39">
                  <c:v>17</c:v>
                </c:pt>
                <c:pt idx="40">
                  <c:v>17</c:v>
                </c:pt>
                <c:pt idx="41">
                  <c:v>17</c:v>
                </c:pt>
                <c:pt idx="42">
                  <c:v>17</c:v>
                </c:pt>
                <c:pt idx="43">
                  <c:v>16</c:v>
                </c:pt>
                <c:pt idx="44">
                  <c:v>16</c:v>
                </c:pt>
                <c:pt idx="45">
                  <c:v>15</c:v>
                </c:pt>
                <c:pt idx="46">
                  <c:v>14</c:v>
                </c:pt>
                <c:pt idx="47">
                  <c:v>14</c:v>
                </c:pt>
                <c:pt idx="48">
                  <c:v>13</c:v>
                </c:pt>
                <c:pt idx="49">
                  <c:v>12</c:v>
                </c:pt>
                <c:pt idx="50">
                  <c:v>11</c:v>
                </c:pt>
                <c:pt idx="51">
                  <c:v>10</c:v>
                </c:pt>
                <c:pt idx="52">
                  <c:v>9</c:v>
                </c:pt>
                <c:pt idx="53">
                  <c:v>8</c:v>
                </c:pt>
                <c:pt idx="54">
                  <c:v>7</c:v>
                </c:pt>
                <c:pt idx="55">
                  <c:v>7</c:v>
                </c:pt>
                <c:pt idx="56">
                  <c:v>7</c:v>
                </c:pt>
                <c:pt idx="57">
                  <c:v>7</c:v>
                </c:pt>
                <c:pt idx="58">
                  <c:v>7</c:v>
                </c:pt>
                <c:pt idx="59">
                  <c:v>6</c:v>
                </c:pt>
                <c:pt idx="60">
                  <c:v>6</c:v>
                </c:pt>
                <c:pt idx="61">
                  <c:v>6</c:v>
                </c:pt>
                <c:pt idx="62">
                  <c:v>6</c:v>
                </c:pt>
                <c:pt idx="63">
                  <c:v>5</c:v>
                </c:pt>
                <c:pt idx="64">
                  <c:v>4</c:v>
                </c:pt>
                <c:pt idx="65">
                  <c:v>3</c:v>
                </c:pt>
                <c:pt idx="66">
                  <c:v>3</c:v>
                </c:pt>
                <c:pt idx="67">
                  <c:v>3</c:v>
                </c:pt>
                <c:pt idx="68">
                  <c:v>3</c:v>
                </c:pt>
                <c:pt idx="69">
                  <c:v>2</c:v>
                </c:pt>
                <c:pt idx="70">
                  <c:v>1</c:v>
                </c:pt>
              </c:numCache>
            </c:numRef>
          </c:val>
          <c:smooth val="0"/>
          <c:extLst>
            <c:ext xmlns:c16="http://schemas.microsoft.com/office/drawing/2014/chart" uri="{C3380CC4-5D6E-409C-BE32-E72D297353CC}">
              <c16:uniqueId val="{0000000A-232B-E64D-8A66-49EA06EAB129}"/>
            </c:ext>
          </c:extLst>
        </c:ser>
        <c:ser>
          <c:idx val="11"/>
          <c:order val="11"/>
          <c:tx>
            <c:strRef>
              <c:f>Commulative!$Q$1</c:f>
              <c:strCache>
                <c:ptCount val="1"/>
                <c:pt idx="0">
                  <c:v>Efficiency</c:v>
                </c:pt>
              </c:strCache>
            </c:strRef>
          </c:tx>
          <c:spPr>
            <a:ln w="28575" cap="rnd">
              <a:solidFill>
                <a:schemeClr val="accent6">
                  <a:lumMod val="60000"/>
                </a:schemeClr>
              </a:solidFill>
              <a:round/>
            </a:ln>
            <a:effectLst/>
          </c:spPr>
          <c:marker>
            <c:symbol val="none"/>
          </c:marker>
          <c:val>
            <c:numRef>
              <c:f>Commulative!$Q$2:$Q$72</c:f>
              <c:numCache>
                <c:formatCode>General</c:formatCode>
                <c:ptCount val="71"/>
                <c:pt idx="0">
                  <c:v>35</c:v>
                </c:pt>
                <c:pt idx="1">
                  <c:v>35</c:v>
                </c:pt>
                <c:pt idx="2">
                  <c:v>35</c:v>
                </c:pt>
                <c:pt idx="3">
                  <c:v>34</c:v>
                </c:pt>
                <c:pt idx="4">
                  <c:v>33</c:v>
                </c:pt>
                <c:pt idx="5">
                  <c:v>33</c:v>
                </c:pt>
                <c:pt idx="6">
                  <c:v>33</c:v>
                </c:pt>
                <c:pt idx="7">
                  <c:v>33</c:v>
                </c:pt>
                <c:pt idx="8">
                  <c:v>33</c:v>
                </c:pt>
                <c:pt idx="9">
                  <c:v>32</c:v>
                </c:pt>
                <c:pt idx="10">
                  <c:v>31</c:v>
                </c:pt>
                <c:pt idx="11">
                  <c:v>31</c:v>
                </c:pt>
                <c:pt idx="12">
                  <c:v>31</c:v>
                </c:pt>
                <c:pt idx="13">
                  <c:v>31</c:v>
                </c:pt>
                <c:pt idx="14">
                  <c:v>30</c:v>
                </c:pt>
                <c:pt idx="15">
                  <c:v>29</c:v>
                </c:pt>
                <c:pt idx="16">
                  <c:v>29</c:v>
                </c:pt>
                <c:pt idx="17">
                  <c:v>29</c:v>
                </c:pt>
                <c:pt idx="18">
                  <c:v>29</c:v>
                </c:pt>
                <c:pt idx="19">
                  <c:v>29</c:v>
                </c:pt>
                <c:pt idx="20">
                  <c:v>29</c:v>
                </c:pt>
                <c:pt idx="21">
                  <c:v>29</c:v>
                </c:pt>
                <c:pt idx="22">
                  <c:v>29</c:v>
                </c:pt>
                <c:pt idx="23">
                  <c:v>28</c:v>
                </c:pt>
                <c:pt idx="24">
                  <c:v>27</c:v>
                </c:pt>
                <c:pt idx="25">
                  <c:v>26</c:v>
                </c:pt>
                <c:pt idx="26">
                  <c:v>26</c:v>
                </c:pt>
                <c:pt idx="27">
                  <c:v>25</c:v>
                </c:pt>
                <c:pt idx="28">
                  <c:v>25</c:v>
                </c:pt>
                <c:pt idx="29">
                  <c:v>24</c:v>
                </c:pt>
                <c:pt idx="30">
                  <c:v>24</c:v>
                </c:pt>
                <c:pt idx="31">
                  <c:v>23</c:v>
                </c:pt>
                <c:pt idx="32">
                  <c:v>23</c:v>
                </c:pt>
                <c:pt idx="33">
                  <c:v>23</c:v>
                </c:pt>
                <c:pt idx="34">
                  <c:v>23</c:v>
                </c:pt>
                <c:pt idx="35">
                  <c:v>22</c:v>
                </c:pt>
                <c:pt idx="36">
                  <c:v>21</c:v>
                </c:pt>
                <c:pt idx="37">
                  <c:v>21</c:v>
                </c:pt>
                <c:pt idx="38">
                  <c:v>21</c:v>
                </c:pt>
                <c:pt idx="39">
                  <c:v>20</c:v>
                </c:pt>
                <c:pt idx="40">
                  <c:v>20</c:v>
                </c:pt>
                <c:pt idx="41">
                  <c:v>20</c:v>
                </c:pt>
                <c:pt idx="42">
                  <c:v>19</c:v>
                </c:pt>
                <c:pt idx="43">
                  <c:v>18</c:v>
                </c:pt>
                <c:pt idx="44">
                  <c:v>18</c:v>
                </c:pt>
                <c:pt idx="45">
                  <c:v>17</c:v>
                </c:pt>
                <c:pt idx="46">
                  <c:v>16</c:v>
                </c:pt>
                <c:pt idx="47">
                  <c:v>15</c:v>
                </c:pt>
                <c:pt idx="48">
                  <c:v>14</c:v>
                </c:pt>
                <c:pt idx="49">
                  <c:v>14</c:v>
                </c:pt>
                <c:pt idx="50">
                  <c:v>14</c:v>
                </c:pt>
                <c:pt idx="51">
                  <c:v>13</c:v>
                </c:pt>
                <c:pt idx="52">
                  <c:v>12</c:v>
                </c:pt>
                <c:pt idx="53">
                  <c:v>11</c:v>
                </c:pt>
                <c:pt idx="54">
                  <c:v>10</c:v>
                </c:pt>
                <c:pt idx="55">
                  <c:v>10</c:v>
                </c:pt>
                <c:pt idx="56">
                  <c:v>9</c:v>
                </c:pt>
                <c:pt idx="57">
                  <c:v>9</c:v>
                </c:pt>
                <c:pt idx="58">
                  <c:v>9</c:v>
                </c:pt>
                <c:pt idx="59">
                  <c:v>8</c:v>
                </c:pt>
                <c:pt idx="60">
                  <c:v>7</c:v>
                </c:pt>
                <c:pt idx="61">
                  <c:v>7</c:v>
                </c:pt>
                <c:pt idx="62">
                  <c:v>6</c:v>
                </c:pt>
                <c:pt idx="63">
                  <c:v>5</c:v>
                </c:pt>
                <c:pt idx="64">
                  <c:v>4</c:v>
                </c:pt>
                <c:pt idx="65">
                  <c:v>4</c:v>
                </c:pt>
                <c:pt idx="66">
                  <c:v>4</c:v>
                </c:pt>
                <c:pt idx="67">
                  <c:v>3</c:v>
                </c:pt>
                <c:pt idx="68">
                  <c:v>3</c:v>
                </c:pt>
                <c:pt idx="69">
                  <c:v>2</c:v>
                </c:pt>
                <c:pt idx="70">
                  <c:v>1</c:v>
                </c:pt>
              </c:numCache>
            </c:numRef>
          </c:val>
          <c:smooth val="0"/>
          <c:extLst>
            <c:ext xmlns:c16="http://schemas.microsoft.com/office/drawing/2014/chart" uri="{C3380CC4-5D6E-409C-BE32-E72D297353CC}">
              <c16:uniqueId val="{0000000B-232B-E64D-8A66-49EA06EAB129}"/>
            </c:ext>
          </c:extLst>
        </c:ser>
        <c:dLbls>
          <c:showLegendKey val="0"/>
          <c:showVal val="0"/>
          <c:showCatName val="0"/>
          <c:showSerName val="0"/>
          <c:showPercent val="0"/>
          <c:showBubbleSize val="0"/>
        </c:dLbls>
        <c:smooth val="0"/>
        <c:axId val="1852328655"/>
        <c:axId val="1851877183"/>
      </c:lineChart>
      <c:catAx>
        <c:axId val="185232865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1877183"/>
        <c:crosses val="autoZero"/>
        <c:auto val="1"/>
        <c:lblAlgn val="ctr"/>
        <c:lblOffset val="100"/>
        <c:noMultiLvlLbl val="0"/>
      </c:catAx>
      <c:valAx>
        <c:axId val="1851877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328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Normalized!$F$1</c:f>
              <c:strCache>
                <c:ptCount val="1"/>
                <c:pt idx="0">
                  <c:v>Resources</c:v>
                </c:pt>
              </c:strCache>
            </c:strRef>
          </c:tx>
          <c:spPr>
            <a:ln w="28575" cap="rnd">
              <a:solidFill>
                <a:schemeClr val="accent2"/>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Normalized!$F$2:$F$72</c:f>
              <c:numCache>
                <c:formatCode>General</c:formatCode>
                <c:ptCount val="71"/>
                <c:pt idx="0">
                  <c:v>34</c:v>
                </c:pt>
                <c:pt idx="1">
                  <c:v>17</c:v>
                </c:pt>
                <c:pt idx="2">
                  <c:v>11</c:v>
                </c:pt>
                <c:pt idx="3">
                  <c:v>8.25</c:v>
                </c:pt>
                <c:pt idx="4">
                  <c:v>6.4</c:v>
                </c:pt>
                <c:pt idx="5">
                  <c:v>5.333333333333333</c:v>
                </c:pt>
                <c:pt idx="6">
                  <c:v>4.4285714285714288</c:v>
                </c:pt>
                <c:pt idx="7">
                  <c:v>3.875</c:v>
                </c:pt>
                <c:pt idx="8">
                  <c:v>3.4444444444444446</c:v>
                </c:pt>
                <c:pt idx="9">
                  <c:v>3</c:v>
                </c:pt>
                <c:pt idx="10">
                  <c:v>2.6363636363636362</c:v>
                </c:pt>
                <c:pt idx="11">
                  <c:v>2.3333333333333335</c:v>
                </c:pt>
                <c:pt idx="12">
                  <c:v>2.1538461538461537</c:v>
                </c:pt>
                <c:pt idx="13">
                  <c:v>2</c:v>
                </c:pt>
                <c:pt idx="14">
                  <c:v>1.8</c:v>
                </c:pt>
                <c:pt idx="15">
                  <c:v>1.625</c:v>
                </c:pt>
                <c:pt idx="16">
                  <c:v>1.4705882352941178</c:v>
                </c:pt>
                <c:pt idx="17">
                  <c:v>1.3333333333333333</c:v>
                </c:pt>
                <c:pt idx="18">
                  <c:v>1.263157894736842</c:v>
                </c:pt>
                <c:pt idx="19">
                  <c:v>1.1499999999999999</c:v>
                </c:pt>
                <c:pt idx="20">
                  <c:v>1.0476190476190477</c:v>
                </c:pt>
                <c:pt idx="21">
                  <c:v>1</c:v>
                </c:pt>
                <c:pt idx="22">
                  <c:v>0.91304347826086951</c:v>
                </c:pt>
                <c:pt idx="23">
                  <c:v>0.875</c:v>
                </c:pt>
                <c:pt idx="24">
                  <c:v>0.8</c:v>
                </c:pt>
                <c:pt idx="25">
                  <c:v>0.76923076923076927</c:v>
                </c:pt>
                <c:pt idx="26">
                  <c:v>0.70370370370370372</c:v>
                </c:pt>
                <c:pt idx="27">
                  <c:v>0.6785714285714286</c:v>
                </c:pt>
                <c:pt idx="28">
                  <c:v>0.65517241379310343</c:v>
                </c:pt>
                <c:pt idx="29">
                  <c:v>0.6</c:v>
                </c:pt>
                <c:pt idx="30">
                  <c:v>0.58064516129032262</c:v>
                </c:pt>
                <c:pt idx="31">
                  <c:v>0.53125</c:v>
                </c:pt>
                <c:pt idx="32">
                  <c:v>0.51515151515151514</c:v>
                </c:pt>
                <c:pt idx="33">
                  <c:v>0.5</c:v>
                </c:pt>
                <c:pt idx="34">
                  <c:v>0.48571428571428571</c:v>
                </c:pt>
                <c:pt idx="35">
                  <c:v>0.47222222222222221</c:v>
                </c:pt>
                <c:pt idx="36">
                  <c:v>0.42105263157894735</c:v>
                </c:pt>
                <c:pt idx="37">
                  <c:v>0.41025641025641024</c:v>
                </c:pt>
                <c:pt idx="38">
                  <c:v>0.4</c:v>
                </c:pt>
                <c:pt idx="39">
                  <c:v>0.3902439024390244</c:v>
                </c:pt>
                <c:pt idx="40">
                  <c:v>0.35714285714285715</c:v>
                </c:pt>
                <c:pt idx="41">
                  <c:v>0.32558139534883723</c:v>
                </c:pt>
                <c:pt idx="42">
                  <c:v>0.31111111111111112</c:v>
                </c:pt>
                <c:pt idx="43">
                  <c:v>0.30434782608695654</c:v>
                </c:pt>
                <c:pt idx="44">
                  <c:v>0.2978723404255319</c:v>
                </c:pt>
                <c:pt idx="45">
                  <c:v>0.27083333333333331</c:v>
                </c:pt>
                <c:pt idx="46">
                  <c:v>0.26530612244897961</c:v>
                </c:pt>
                <c:pt idx="47">
                  <c:v>0.26</c:v>
                </c:pt>
                <c:pt idx="48">
                  <c:v>0.23529411764705882</c:v>
                </c:pt>
                <c:pt idx="49">
                  <c:v>0.21153846153846154</c:v>
                </c:pt>
                <c:pt idx="50">
                  <c:v>0.18867924528301888</c:v>
                </c:pt>
                <c:pt idx="51">
                  <c:v>0.18518518518518517</c:v>
                </c:pt>
                <c:pt idx="52">
                  <c:v>0.18181818181818182</c:v>
                </c:pt>
                <c:pt idx="53">
                  <c:v>0.16071428571428573</c:v>
                </c:pt>
                <c:pt idx="54">
                  <c:v>0.14035087719298245</c:v>
                </c:pt>
                <c:pt idx="55">
                  <c:v>0.13793103448275862</c:v>
                </c:pt>
                <c:pt idx="56">
                  <c:v>0.11864406779661017</c:v>
                </c:pt>
                <c:pt idx="57">
                  <c:v>0.11666666666666667</c:v>
                </c:pt>
                <c:pt idx="58">
                  <c:v>0.11475409836065574</c:v>
                </c:pt>
                <c:pt idx="59">
                  <c:v>9.6774193548387094E-2</c:v>
                </c:pt>
                <c:pt idx="60">
                  <c:v>7.9365079365079361E-2</c:v>
                </c:pt>
                <c:pt idx="61">
                  <c:v>6.25E-2</c:v>
                </c:pt>
                <c:pt idx="62">
                  <c:v>4.6153846153846156E-2</c:v>
                </c:pt>
                <c:pt idx="63">
                  <c:v>4.5454545454545456E-2</c:v>
                </c:pt>
                <c:pt idx="64">
                  <c:v>4.4776119402985072E-2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1-3C95-694A-9DDB-8A09248A55EB}"/>
            </c:ext>
          </c:extLst>
        </c:ser>
        <c:ser>
          <c:idx val="2"/>
          <c:order val="1"/>
          <c:tx>
            <c:strRef>
              <c:f>Normalized!$G$1</c:f>
              <c:strCache>
                <c:ptCount val="1"/>
                <c:pt idx="0">
                  <c:v>The Science of Deep Learning</c:v>
                </c:pt>
              </c:strCache>
            </c:strRef>
          </c:tx>
          <c:spPr>
            <a:ln w="28575" cap="rnd">
              <a:solidFill>
                <a:schemeClr val="accent3"/>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Normalized!$G$2:$G$72</c:f>
              <c:numCache>
                <c:formatCode>General</c:formatCode>
                <c:ptCount val="71"/>
                <c:pt idx="0">
                  <c:v>38</c:v>
                </c:pt>
                <c:pt idx="1">
                  <c:v>19</c:v>
                </c:pt>
                <c:pt idx="2">
                  <c:v>12.666666666666666</c:v>
                </c:pt>
                <c:pt idx="3">
                  <c:v>9.5</c:v>
                </c:pt>
                <c:pt idx="4">
                  <c:v>7.4</c:v>
                </c:pt>
                <c:pt idx="5">
                  <c:v>6</c:v>
                </c:pt>
                <c:pt idx="6">
                  <c:v>5.1428571428571432</c:v>
                </c:pt>
                <c:pt idx="7">
                  <c:v>4.5</c:v>
                </c:pt>
                <c:pt idx="8">
                  <c:v>3.8888888888888888</c:v>
                </c:pt>
                <c:pt idx="9">
                  <c:v>3.5</c:v>
                </c:pt>
                <c:pt idx="10">
                  <c:v>3.0909090909090908</c:v>
                </c:pt>
                <c:pt idx="11">
                  <c:v>2.8333333333333335</c:v>
                </c:pt>
                <c:pt idx="12">
                  <c:v>2.5384615384615383</c:v>
                </c:pt>
                <c:pt idx="13">
                  <c:v>2.2857142857142856</c:v>
                </c:pt>
                <c:pt idx="14">
                  <c:v>2.1333333333333333</c:v>
                </c:pt>
                <c:pt idx="15">
                  <c:v>1.9375</c:v>
                </c:pt>
                <c:pt idx="16">
                  <c:v>1.7647058823529411</c:v>
                </c:pt>
                <c:pt idx="17">
                  <c:v>1.6666666666666667</c:v>
                </c:pt>
                <c:pt idx="18">
                  <c:v>1.5263157894736843</c:v>
                </c:pt>
                <c:pt idx="19">
                  <c:v>1.4</c:v>
                </c:pt>
                <c:pt idx="20">
                  <c:v>1.3333333333333333</c:v>
                </c:pt>
                <c:pt idx="21">
                  <c:v>1.2727272727272727</c:v>
                </c:pt>
                <c:pt idx="22">
                  <c:v>1.2173913043478262</c:v>
                </c:pt>
                <c:pt idx="23">
                  <c:v>1.125</c:v>
                </c:pt>
                <c:pt idx="24">
                  <c:v>1.04</c:v>
                </c:pt>
                <c:pt idx="25">
                  <c:v>0.96153846153846156</c:v>
                </c:pt>
                <c:pt idx="26">
                  <c:v>0.88888888888888884</c:v>
                </c:pt>
                <c:pt idx="27">
                  <c:v>0.8571428571428571</c:v>
                </c:pt>
                <c:pt idx="28">
                  <c:v>0.7931034482758621</c:v>
                </c:pt>
                <c:pt idx="29">
                  <c:v>0.76666666666666672</c:v>
                </c:pt>
                <c:pt idx="30">
                  <c:v>0.70967741935483875</c:v>
                </c:pt>
                <c:pt idx="31">
                  <c:v>0.65625</c:v>
                </c:pt>
                <c:pt idx="32">
                  <c:v>0.60606060606060608</c:v>
                </c:pt>
                <c:pt idx="33">
                  <c:v>0.55882352941176472</c:v>
                </c:pt>
                <c:pt idx="34">
                  <c:v>0.51428571428571423</c:v>
                </c:pt>
                <c:pt idx="35">
                  <c:v>0.5</c:v>
                </c:pt>
                <c:pt idx="36">
                  <c:v>0.44736842105263158</c:v>
                </c:pt>
                <c:pt idx="37">
                  <c:v>0.41025641025641024</c:v>
                </c:pt>
                <c:pt idx="38">
                  <c:v>0.375</c:v>
                </c:pt>
                <c:pt idx="39">
                  <c:v>0.34146341463414637</c:v>
                </c:pt>
                <c:pt idx="40">
                  <c:v>0.33333333333333331</c:v>
                </c:pt>
                <c:pt idx="41">
                  <c:v>0.30232558139534882</c:v>
                </c:pt>
                <c:pt idx="42">
                  <c:v>0.26666666666666666</c:v>
                </c:pt>
                <c:pt idx="43">
                  <c:v>0.2608695652173913</c:v>
                </c:pt>
                <c:pt idx="44">
                  <c:v>0.23404255319148937</c:v>
                </c:pt>
                <c:pt idx="45">
                  <c:v>0.20833333333333334</c:v>
                </c:pt>
                <c:pt idx="46">
                  <c:v>0.20408163265306123</c:v>
                </c:pt>
                <c:pt idx="47">
                  <c:v>0.18</c:v>
                </c:pt>
                <c:pt idx="48">
                  <c:v>0.17647058823529413</c:v>
                </c:pt>
                <c:pt idx="49">
                  <c:v>0.15384615384615385</c:v>
                </c:pt>
                <c:pt idx="50">
                  <c:v>0.15094339622641509</c:v>
                </c:pt>
                <c:pt idx="51">
                  <c:v>0.14814814814814814</c:v>
                </c:pt>
                <c:pt idx="52">
                  <c:v>0.14545454545454545</c:v>
                </c:pt>
                <c:pt idx="53">
                  <c:v>0.14285714285714285</c:v>
                </c:pt>
                <c:pt idx="54">
                  <c:v>0.14035087719298245</c:v>
                </c:pt>
                <c:pt idx="55">
                  <c:v>0.13793103448275862</c:v>
                </c:pt>
                <c:pt idx="56">
                  <c:v>0.11864406779661017</c:v>
                </c:pt>
                <c:pt idx="57">
                  <c:v>0.1</c:v>
                </c:pt>
                <c:pt idx="58">
                  <c:v>9.8360655737704916E-2</c:v>
                </c:pt>
                <c:pt idx="59">
                  <c:v>9.6774193548387094E-2</c:v>
                </c:pt>
                <c:pt idx="60">
                  <c:v>9.5238095238095233E-2</c:v>
                </c:pt>
                <c:pt idx="61">
                  <c:v>9.375E-2</c:v>
                </c:pt>
                <c:pt idx="62">
                  <c:v>7.6923076923076927E-2</c:v>
                </c:pt>
                <c:pt idx="63">
                  <c:v>6.0606060606060608E-2</c:v>
                </c:pt>
                <c:pt idx="64">
                  <c:v>4.4776119402985072E-2</c:v>
                </c:pt>
                <c:pt idx="65">
                  <c:v>4.4117647058823532E-2</c:v>
                </c:pt>
                <c:pt idx="66">
                  <c:v>2.8985507246376812E-2</c:v>
                </c:pt>
                <c:pt idx="67">
                  <c:v>1.4084507042253521E-2</c:v>
                </c:pt>
                <c:pt idx="68">
                  <c:v>0</c:v>
                </c:pt>
                <c:pt idx="69">
                  <c:v>0</c:v>
                </c:pt>
                <c:pt idx="70">
                  <c:v>0</c:v>
                </c:pt>
              </c:numCache>
            </c:numRef>
          </c:val>
          <c:smooth val="0"/>
          <c:extLst>
            <c:ext xmlns:c16="http://schemas.microsoft.com/office/drawing/2014/chart" uri="{C3380CC4-5D6E-409C-BE32-E72D297353CC}">
              <c16:uniqueId val="{00000002-3C95-694A-9DDB-8A09248A55EB}"/>
            </c:ext>
          </c:extLst>
        </c:ser>
        <c:ser>
          <c:idx val="3"/>
          <c:order val="2"/>
          <c:tx>
            <c:strRef>
              <c:f>Normalized!$H$1</c:f>
              <c:strCache>
                <c:ptCount val="1"/>
                <c:pt idx="0">
                  <c:v>Methods</c:v>
                </c:pt>
              </c:strCache>
            </c:strRef>
          </c:tx>
          <c:spPr>
            <a:ln w="28575" cap="rnd">
              <a:solidFill>
                <a:schemeClr val="accent4"/>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Normalized!$H$2:$H$72</c:f>
              <c:numCache>
                <c:formatCode>General</c:formatCode>
                <c:ptCount val="71"/>
                <c:pt idx="0">
                  <c:v>38</c:v>
                </c:pt>
                <c:pt idx="1">
                  <c:v>18.5</c:v>
                </c:pt>
                <c:pt idx="2">
                  <c:v>12</c:v>
                </c:pt>
                <c:pt idx="3">
                  <c:v>8.75</c:v>
                </c:pt>
                <c:pt idx="4">
                  <c:v>6.8</c:v>
                </c:pt>
                <c:pt idx="5">
                  <c:v>5.666666666666667</c:v>
                </c:pt>
                <c:pt idx="6">
                  <c:v>4.8571428571428568</c:v>
                </c:pt>
                <c:pt idx="7">
                  <c:v>4.125</c:v>
                </c:pt>
                <c:pt idx="8">
                  <c:v>3.6666666666666665</c:v>
                </c:pt>
                <c:pt idx="9">
                  <c:v>3.2</c:v>
                </c:pt>
                <c:pt idx="10">
                  <c:v>2.8181818181818183</c:v>
                </c:pt>
                <c:pt idx="11">
                  <c:v>2.5</c:v>
                </c:pt>
                <c:pt idx="12">
                  <c:v>2.3076923076923075</c:v>
                </c:pt>
                <c:pt idx="13">
                  <c:v>2.1428571428571428</c:v>
                </c:pt>
                <c:pt idx="14">
                  <c:v>2</c:v>
                </c:pt>
                <c:pt idx="15">
                  <c:v>1.8125</c:v>
                </c:pt>
                <c:pt idx="16">
                  <c:v>1.6470588235294117</c:v>
                </c:pt>
                <c:pt idx="17">
                  <c:v>1.5</c:v>
                </c:pt>
                <c:pt idx="18">
                  <c:v>1.4210526315789473</c:v>
                </c:pt>
                <c:pt idx="19">
                  <c:v>1.3</c:v>
                </c:pt>
                <c:pt idx="20">
                  <c:v>1.1904761904761905</c:v>
                </c:pt>
                <c:pt idx="21">
                  <c:v>1.1363636363636365</c:v>
                </c:pt>
                <c:pt idx="22">
                  <c:v>1.0869565217391304</c:v>
                </c:pt>
                <c:pt idx="23">
                  <c:v>1</c:v>
                </c:pt>
                <c:pt idx="24">
                  <c:v>0.92</c:v>
                </c:pt>
                <c:pt idx="25">
                  <c:v>0.84615384615384615</c:v>
                </c:pt>
                <c:pt idx="26">
                  <c:v>0.77777777777777779</c:v>
                </c:pt>
                <c:pt idx="27">
                  <c:v>0.7142857142857143</c:v>
                </c:pt>
                <c:pt idx="28">
                  <c:v>0.68965517241379315</c:v>
                </c:pt>
                <c:pt idx="29">
                  <c:v>0.6333333333333333</c:v>
                </c:pt>
                <c:pt idx="30">
                  <c:v>0.58064516129032262</c:v>
                </c:pt>
                <c:pt idx="31">
                  <c:v>0.53125</c:v>
                </c:pt>
                <c:pt idx="32">
                  <c:v>0.51515151515151514</c:v>
                </c:pt>
                <c:pt idx="33">
                  <c:v>0.47058823529411764</c:v>
                </c:pt>
                <c:pt idx="34">
                  <c:v>0.42857142857142855</c:v>
                </c:pt>
                <c:pt idx="35">
                  <c:v>0.3888888888888889</c:v>
                </c:pt>
                <c:pt idx="36">
                  <c:v>0.36842105263157893</c:v>
                </c:pt>
                <c:pt idx="37">
                  <c:v>0.35897435897435898</c:v>
                </c:pt>
                <c:pt idx="38">
                  <c:v>0.32500000000000001</c:v>
                </c:pt>
                <c:pt idx="39">
                  <c:v>0.29268292682926828</c:v>
                </c:pt>
                <c:pt idx="40">
                  <c:v>0.2857142857142857</c:v>
                </c:pt>
                <c:pt idx="41">
                  <c:v>0.27906976744186046</c:v>
                </c:pt>
                <c:pt idx="42">
                  <c:v>0.24444444444444444</c:v>
                </c:pt>
                <c:pt idx="43">
                  <c:v>0.2391304347826087</c:v>
                </c:pt>
                <c:pt idx="44">
                  <c:v>0.21276595744680851</c:v>
                </c:pt>
                <c:pt idx="45">
                  <c:v>0.20833333333333334</c:v>
                </c:pt>
                <c:pt idx="46">
                  <c:v>0.18367346938775511</c:v>
                </c:pt>
                <c:pt idx="47">
                  <c:v>0.16</c:v>
                </c:pt>
                <c:pt idx="48">
                  <c:v>0.13725490196078433</c:v>
                </c:pt>
                <c:pt idx="49">
                  <c:v>0.13461538461538461</c:v>
                </c:pt>
                <c:pt idx="50">
                  <c:v>0.13207547169811321</c:v>
                </c:pt>
                <c:pt idx="51">
                  <c:v>0.1111111111111111</c:v>
                </c:pt>
                <c:pt idx="52">
                  <c:v>0.10909090909090909</c:v>
                </c:pt>
                <c:pt idx="53">
                  <c:v>0.10714285714285714</c:v>
                </c:pt>
                <c:pt idx="54">
                  <c:v>8.771929824561403E-2</c:v>
                </c:pt>
                <c:pt idx="55">
                  <c:v>6.8965517241379309E-2</c:v>
                </c:pt>
                <c:pt idx="56">
                  <c:v>5.0847457627118647E-2</c:v>
                </c:pt>
                <c:pt idx="57">
                  <c:v>0.05</c:v>
                </c:pt>
                <c:pt idx="58">
                  <c:v>4.9180327868852458E-2</c:v>
                </c:pt>
                <c:pt idx="59">
                  <c:v>4.8387096774193547E-2</c:v>
                </c:pt>
                <c:pt idx="60">
                  <c:v>3.1746031746031744E-2</c:v>
                </c:pt>
                <c:pt idx="61">
                  <c:v>3.125E-2</c:v>
                </c:pt>
                <c:pt idx="62">
                  <c:v>1.5384615384615385E-2</c:v>
                </c:pt>
                <c:pt idx="63">
                  <c:v>1.5151515151515152E-2</c:v>
                </c:pt>
                <c:pt idx="64">
                  <c:v>1.4925373134328358E-2</c:v>
                </c:pt>
                <c:pt idx="65">
                  <c:v>1.4705882352941176E-2</c:v>
                </c:pt>
                <c:pt idx="66">
                  <c:v>1.4492753623188406E-2</c:v>
                </c:pt>
                <c:pt idx="67">
                  <c:v>0</c:v>
                </c:pt>
                <c:pt idx="68">
                  <c:v>0</c:v>
                </c:pt>
                <c:pt idx="69">
                  <c:v>0</c:v>
                </c:pt>
                <c:pt idx="70">
                  <c:v>0</c:v>
                </c:pt>
              </c:numCache>
            </c:numRef>
          </c:val>
          <c:smooth val="0"/>
          <c:extLst>
            <c:ext xmlns:c16="http://schemas.microsoft.com/office/drawing/2014/chart" uri="{C3380CC4-5D6E-409C-BE32-E72D297353CC}">
              <c16:uniqueId val="{00000003-3C95-694A-9DDB-8A09248A55EB}"/>
            </c:ext>
          </c:extLst>
        </c:ser>
        <c:ser>
          <c:idx val="4"/>
          <c:order val="3"/>
          <c:tx>
            <c:strRef>
              <c:f>Normalized!$I$1</c:f>
              <c:strCache>
                <c:ptCount val="1"/>
                <c:pt idx="0">
                  <c:v>Dataset</c:v>
                </c:pt>
              </c:strCache>
            </c:strRef>
          </c:tx>
          <c:spPr>
            <a:ln w="28575" cap="rnd">
              <a:solidFill>
                <a:schemeClr val="accent5"/>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Normalized!$I$2:$I$72</c:f>
              <c:numCache>
                <c:formatCode>General</c:formatCode>
                <c:ptCount val="71"/>
                <c:pt idx="0">
                  <c:v>17</c:v>
                </c:pt>
                <c:pt idx="1">
                  <c:v>8.5</c:v>
                </c:pt>
                <c:pt idx="2">
                  <c:v>5.666666666666667</c:v>
                </c:pt>
                <c:pt idx="3">
                  <c:v>4.25</c:v>
                </c:pt>
                <c:pt idx="4">
                  <c:v>3.4</c:v>
                </c:pt>
                <c:pt idx="5">
                  <c:v>2.8333333333333335</c:v>
                </c:pt>
                <c:pt idx="6">
                  <c:v>2.2857142857142856</c:v>
                </c:pt>
                <c:pt idx="7">
                  <c:v>2</c:v>
                </c:pt>
                <c:pt idx="8">
                  <c:v>1.7777777777777777</c:v>
                </c:pt>
                <c:pt idx="9">
                  <c:v>1.6</c:v>
                </c:pt>
                <c:pt idx="10">
                  <c:v>1.3636363636363635</c:v>
                </c:pt>
                <c:pt idx="11">
                  <c:v>1.1666666666666667</c:v>
                </c:pt>
                <c:pt idx="12">
                  <c:v>1.0769230769230769</c:v>
                </c:pt>
                <c:pt idx="13">
                  <c:v>1</c:v>
                </c:pt>
                <c:pt idx="14">
                  <c:v>0.93333333333333335</c:v>
                </c:pt>
                <c:pt idx="15">
                  <c:v>0.875</c:v>
                </c:pt>
                <c:pt idx="16">
                  <c:v>0.82352941176470584</c:v>
                </c:pt>
                <c:pt idx="17">
                  <c:v>0.72222222222222221</c:v>
                </c:pt>
                <c:pt idx="18">
                  <c:v>0.68421052631578949</c:v>
                </c:pt>
                <c:pt idx="19">
                  <c:v>0.65</c:v>
                </c:pt>
                <c:pt idx="20">
                  <c:v>0.61904761904761907</c:v>
                </c:pt>
                <c:pt idx="21">
                  <c:v>0.59090909090909094</c:v>
                </c:pt>
                <c:pt idx="22">
                  <c:v>0.52173913043478259</c:v>
                </c:pt>
                <c:pt idx="23">
                  <c:v>0.5</c:v>
                </c:pt>
                <c:pt idx="24">
                  <c:v>0.48</c:v>
                </c:pt>
                <c:pt idx="25">
                  <c:v>0.46153846153846156</c:v>
                </c:pt>
                <c:pt idx="26">
                  <c:v>0.40740740740740738</c:v>
                </c:pt>
                <c:pt idx="27">
                  <c:v>0.39285714285714285</c:v>
                </c:pt>
                <c:pt idx="28">
                  <c:v>0.37931034482758619</c:v>
                </c:pt>
                <c:pt idx="29">
                  <c:v>0.36666666666666664</c:v>
                </c:pt>
                <c:pt idx="30">
                  <c:v>0.35483870967741937</c:v>
                </c:pt>
                <c:pt idx="31">
                  <c:v>0.34375</c:v>
                </c:pt>
                <c:pt idx="32">
                  <c:v>0.33333333333333331</c:v>
                </c:pt>
                <c:pt idx="33">
                  <c:v>0.3235294117647059</c:v>
                </c:pt>
                <c:pt idx="34">
                  <c:v>0.31428571428571428</c:v>
                </c:pt>
                <c:pt idx="35">
                  <c:v>0.30555555555555558</c:v>
                </c:pt>
                <c:pt idx="36">
                  <c:v>0.26315789473684209</c:v>
                </c:pt>
                <c:pt idx="37">
                  <c:v>0.25641025641025639</c:v>
                </c:pt>
                <c:pt idx="38">
                  <c:v>0.25</c:v>
                </c:pt>
                <c:pt idx="39">
                  <c:v>0.24390243902439024</c:v>
                </c:pt>
                <c:pt idx="40">
                  <c:v>0.21428571428571427</c:v>
                </c:pt>
                <c:pt idx="41">
                  <c:v>0.20930232558139536</c:v>
                </c:pt>
                <c:pt idx="42">
                  <c:v>0.2</c:v>
                </c:pt>
                <c:pt idx="43">
                  <c:v>0.19565217391304349</c:v>
                </c:pt>
                <c:pt idx="44">
                  <c:v>0.19148936170212766</c:v>
                </c:pt>
                <c:pt idx="45">
                  <c:v>0.16666666666666666</c:v>
                </c:pt>
                <c:pt idx="46">
                  <c:v>0.14285714285714285</c:v>
                </c:pt>
                <c:pt idx="47">
                  <c:v>0.14000000000000001</c:v>
                </c:pt>
                <c:pt idx="48">
                  <c:v>0.13725490196078433</c:v>
                </c:pt>
                <c:pt idx="49">
                  <c:v>0.11538461538461539</c:v>
                </c:pt>
                <c:pt idx="50">
                  <c:v>9.4339622641509441E-2</c:v>
                </c:pt>
                <c:pt idx="51">
                  <c:v>9.2592592592592587E-2</c:v>
                </c:pt>
                <c:pt idx="52">
                  <c:v>9.0909090909090912E-2</c:v>
                </c:pt>
                <c:pt idx="53">
                  <c:v>7.1428571428571425E-2</c:v>
                </c:pt>
                <c:pt idx="54">
                  <c:v>7.0175438596491224E-2</c:v>
                </c:pt>
                <c:pt idx="55">
                  <c:v>6.8965517241379309E-2</c:v>
                </c:pt>
                <c:pt idx="56">
                  <c:v>6.7796610169491525E-2</c:v>
                </c:pt>
                <c:pt idx="57">
                  <c:v>0.05</c:v>
                </c:pt>
                <c:pt idx="58">
                  <c:v>4.9180327868852458E-2</c:v>
                </c:pt>
                <c:pt idx="59">
                  <c:v>3.2258064516129031E-2</c:v>
                </c:pt>
                <c:pt idx="60">
                  <c:v>1.5873015873015872E-2</c:v>
                </c:pt>
                <c:pt idx="61">
                  <c:v>1.5625E-2</c:v>
                </c:pt>
                <c:pt idx="62">
                  <c:v>0</c:v>
                </c:pt>
                <c:pt idx="63">
                  <c:v>0</c:v>
                </c:pt>
                <c:pt idx="64">
                  <c:v>0</c:v>
                </c:pt>
                <c:pt idx="65">
                  <c:v>0</c:v>
                </c:pt>
                <c:pt idx="66">
                  <c:v>0</c:v>
                </c:pt>
                <c:pt idx="67">
                  <c:v>0</c:v>
                </c:pt>
                <c:pt idx="68">
                  <c:v>0</c:v>
                </c:pt>
                <c:pt idx="69">
                  <c:v>0</c:v>
                </c:pt>
                <c:pt idx="70">
                  <c:v>0</c:v>
                </c:pt>
              </c:numCache>
            </c:numRef>
          </c:val>
          <c:smooth val="0"/>
          <c:extLst>
            <c:ext xmlns:c16="http://schemas.microsoft.com/office/drawing/2014/chart" uri="{C3380CC4-5D6E-409C-BE32-E72D297353CC}">
              <c16:uniqueId val="{00000004-3C95-694A-9DDB-8A09248A55EB}"/>
            </c:ext>
          </c:extLst>
        </c:ser>
        <c:ser>
          <c:idx val="5"/>
          <c:order val="4"/>
          <c:tx>
            <c:strRef>
              <c:f>Normalized!$J$1</c:f>
              <c:strCache>
                <c:ptCount val="1"/>
                <c:pt idx="0">
                  <c:v>Training</c:v>
                </c:pt>
              </c:strCache>
            </c:strRef>
          </c:tx>
          <c:spPr>
            <a:ln w="28575" cap="rnd">
              <a:solidFill>
                <a:schemeClr val="accent6"/>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Normalized!$J$2:$J$72</c:f>
              <c:numCache>
                <c:formatCode>General</c:formatCode>
                <c:ptCount val="71"/>
                <c:pt idx="0">
                  <c:v>28</c:v>
                </c:pt>
                <c:pt idx="1">
                  <c:v>13.5</c:v>
                </c:pt>
                <c:pt idx="2">
                  <c:v>9</c:v>
                </c:pt>
                <c:pt idx="3">
                  <c:v>6.5</c:v>
                </c:pt>
                <c:pt idx="4">
                  <c:v>5.2</c:v>
                </c:pt>
                <c:pt idx="5">
                  <c:v>4.333333333333333</c:v>
                </c:pt>
                <c:pt idx="6">
                  <c:v>3.7142857142857144</c:v>
                </c:pt>
                <c:pt idx="7">
                  <c:v>3.125</c:v>
                </c:pt>
                <c:pt idx="8">
                  <c:v>2.7777777777777777</c:v>
                </c:pt>
                <c:pt idx="9">
                  <c:v>2.4</c:v>
                </c:pt>
                <c:pt idx="10">
                  <c:v>2.1818181818181817</c:v>
                </c:pt>
                <c:pt idx="11">
                  <c:v>1.9166666666666667</c:v>
                </c:pt>
                <c:pt idx="12">
                  <c:v>1.6923076923076923</c:v>
                </c:pt>
                <c:pt idx="13">
                  <c:v>1.5714285714285714</c:v>
                </c:pt>
                <c:pt idx="14">
                  <c:v>1.4</c:v>
                </c:pt>
                <c:pt idx="15">
                  <c:v>1.25</c:v>
                </c:pt>
                <c:pt idx="16">
                  <c:v>1.1764705882352942</c:v>
                </c:pt>
                <c:pt idx="17">
                  <c:v>1.0555555555555556</c:v>
                </c:pt>
                <c:pt idx="18">
                  <c:v>1</c:v>
                </c:pt>
                <c:pt idx="19">
                  <c:v>0.95</c:v>
                </c:pt>
                <c:pt idx="20">
                  <c:v>0.90476190476190477</c:v>
                </c:pt>
                <c:pt idx="21">
                  <c:v>0.86363636363636365</c:v>
                </c:pt>
                <c:pt idx="22">
                  <c:v>0.82608695652173914</c:v>
                </c:pt>
                <c:pt idx="23">
                  <c:v>0.75</c:v>
                </c:pt>
                <c:pt idx="24">
                  <c:v>0.72</c:v>
                </c:pt>
                <c:pt idx="25">
                  <c:v>0.65384615384615385</c:v>
                </c:pt>
                <c:pt idx="26">
                  <c:v>0.62962962962962965</c:v>
                </c:pt>
                <c:pt idx="27">
                  <c:v>0.5714285714285714</c:v>
                </c:pt>
                <c:pt idx="28">
                  <c:v>0.55172413793103448</c:v>
                </c:pt>
                <c:pt idx="29">
                  <c:v>0.5</c:v>
                </c:pt>
                <c:pt idx="30">
                  <c:v>0.45161290322580644</c:v>
                </c:pt>
                <c:pt idx="31">
                  <c:v>0.40625</c:v>
                </c:pt>
                <c:pt idx="32">
                  <c:v>0.39393939393939392</c:v>
                </c:pt>
                <c:pt idx="33">
                  <c:v>0.38235294117647056</c:v>
                </c:pt>
                <c:pt idx="34">
                  <c:v>0.34285714285714286</c:v>
                </c:pt>
                <c:pt idx="35">
                  <c:v>0.30555555555555558</c:v>
                </c:pt>
                <c:pt idx="36">
                  <c:v>0.26315789473684209</c:v>
                </c:pt>
                <c:pt idx="37">
                  <c:v>0.25641025641025639</c:v>
                </c:pt>
                <c:pt idx="38">
                  <c:v>0.25</c:v>
                </c:pt>
                <c:pt idx="39">
                  <c:v>0.24390243902439024</c:v>
                </c:pt>
                <c:pt idx="40">
                  <c:v>0.23809523809523808</c:v>
                </c:pt>
                <c:pt idx="41">
                  <c:v>0.23255813953488372</c:v>
                </c:pt>
                <c:pt idx="42">
                  <c:v>0.22222222222222221</c:v>
                </c:pt>
                <c:pt idx="43">
                  <c:v>0.21739130434782608</c:v>
                </c:pt>
                <c:pt idx="44">
                  <c:v>0.19148936170212766</c:v>
                </c:pt>
                <c:pt idx="45">
                  <c:v>0.16666666666666666</c:v>
                </c:pt>
                <c:pt idx="46">
                  <c:v>0.14285714285714285</c:v>
                </c:pt>
                <c:pt idx="47">
                  <c:v>0.12</c:v>
                </c:pt>
                <c:pt idx="48">
                  <c:v>0.11764705882352941</c:v>
                </c:pt>
                <c:pt idx="49">
                  <c:v>0.11538461538461539</c:v>
                </c:pt>
                <c:pt idx="50">
                  <c:v>0.11320754716981132</c:v>
                </c:pt>
                <c:pt idx="51">
                  <c:v>0.1111111111111111</c:v>
                </c:pt>
                <c:pt idx="52">
                  <c:v>0.10909090909090909</c:v>
                </c:pt>
                <c:pt idx="53">
                  <c:v>0.10714285714285714</c:v>
                </c:pt>
                <c:pt idx="54">
                  <c:v>0.10526315789473684</c:v>
                </c:pt>
                <c:pt idx="55">
                  <c:v>8.6206896551724144E-2</c:v>
                </c:pt>
                <c:pt idx="56">
                  <c:v>8.4745762711864403E-2</c:v>
                </c:pt>
                <c:pt idx="57">
                  <c:v>8.3333333333333329E-2</c:v>
                </c:pt>
                <c:pt idx="58">
                  <c:v>8.1967213114754092E-2</c:v>
                </c:pt>
                <c:pt idx="59">
                  <c:v>8.0645161290322578E-2</c:v>
                </c:pt>
                <c:pt idx="60">
                  <c:v>7.9365079365079361E-2</c:v>
                </c:pt>
                <c:pt idx="61">
                  <c:v>7.8125E-2</c:v>
                </c:pt>
                <c:pt idx="62">
                  <c:v>7.6923076923076927E-2</c:v>
                </c:pt>
                <c:pt idx="63">
                  <c:v>6.0606060606060608E-2</c:v>
                </c:pt>
                <c:pt idx="64">
                  <c:v>5.9701492537313432E-2</c:v>
                </c:pt>
                <c:pt idx="65">
                  <c:v>5.8823529411764705E-2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5-3C95-694A-9DDB-8A09248A55EB}"/>
            </c:ext>
          </c:extLst>
        </c:ser>
        <c:ser>
          <c:idx val="6"/>
          <c:order val="5"/>
          <c:tx>
            <c:strRef>
              <c:f>Normalized!$K$1</c:f>
              <c:strCache>
                <c:ptCount val="1"/>
                <c:pt idx="0">
                  <c:v>Evaluation</c:v>
                </c:pt>
              </c:strCache>
            </c:strRef>
          </c:tx>
          <c:spPr>
            <a:ln w="28575" cap="rnd">
              <a:solidFill>
                <a:schemeClr val="accent1">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Normalized!$K$2:$K$72</c:f>
              <c:numCache>
                <c:formatCode>General</c:formatCode>
                <c:ptCount val="71"/>
                <c:pt idx="0">
                  <c:v>33</c:v>
                </c:pt>
                <c:pt idx="1">
                  <c:v>16.5</c:v>
                </c:pt>
                <c:pt idx="2">
                  <c:v>10.666666666666666</c:v>
                </c:pt>
                <c:pt idx="3">
                  <c:v>8</c:v>
                </c:pt>
                <c:pt idx="4">
                  <c:v>6.2</c:v>
                </c:pt>
                <c:pt idx="5">
                  <c:v>5</c:v>
                </c:pt>
                <c:pt idx="6">
                  <c:v>4.1428571428571432</c:v>
                </c:pt>
                <c:pt idx="7">
                  <c:v>3.625</c:v>
                </c:pt>
                <c:pt idx="8">
                  <c:v>3.2222222222222223</c:v>
                </c:pt>
                <c:pt idx="9">
                  <c:v>2.9</c:v>
                </c:pt>
                <c:pt idx="10">
                  <c:v>2.5454545454545454</c:v>
                </c:pt>
                <c:pt idx="11">
                  <c:v>2.25</c:v>
                </c:pt>
                <c:pt idx="12">
                  <c:v>2</c:v>
                </c:pt>
                <c:pt idx="13">
                  <c:v>1.8571428571428572</c:v>
                </c:pt>
                <c:pt idx="14">
                  <c:v>1.6666666666666667</c:v>
                </c:pt>
                <c:pt idx="15">
                  <c:v>1.5</c:v>
                </c:pt>
                <c:pt idx="16">
                  <c:v>1.3529411764705883</c:v>
                </c:pt>
                <c:pt idx="17">
                  <c:v>1.2777777777777777</c:v>
                </c:pt>
                <c:pt idx="18">
                  <c:v>1.2105263157894737</c:v>
                </c:pt>
                <c:pt idx="19">
                  <c:v>1.1000000000000001</c:v>
                </c:pt>
                <c:pt idx="20">
                  <c:v>1</c:v>
                </c:pt>
                <c:pt idx="21">
                  <c:v>0.90909090909090906</c:v>
                </c:pt>
                <c:pt idx="22">
                  <c:v>0.86956521739130432</c:v>
                </c:pt>
                <c:pt idx="23">
                  <c:v>0.83333333333333337</c:v>
                </c:pt>
                <c:pt idx="24">
                  <c:v>0.76</c:v>
                </c:pt>
                <c:pt idx="25">
                  <c:v>0.73076923076923073</c:v>
                </c:pt>
                <c:pt idx="26">
                  <c:v>0.66666666666666663</c:v>
                </c:pt>
                <c:pt idx="27">
                  <c:v>0.6428571428571429</c:v>
                </c:pt>
                <c:pt idx="28">
                  <c:v>0.62068965517241381</c:v>
                </c:pt>
                <c:pt idx="29">
                  <c:v>0.56666666666666665</c:v>
                </c:pt>
                <c:pt idx="30">
                  <c:v>0.54838709677419351</c:v>
                </c:pt>
                <c:pt idx="31">
                  <c:v>0.53125</c:v>
                </c:pt>
                <c:pt idx="32">
                  <c:v>0.51515151515151514</c:v>
                </c:pt>
                <c:pt idx="33">
                  <c:v>0.47058823529411764</c:v>
                </c:pt>
                <c:pt idx="34">
                  <c:v>0.45714285714285713</c:v>
                </c:pt>
                <c:pt idx="35">
                  <c:v>0.44444444444444442</c:v>
                </c:pt>
                <c:pt idx="36">
                  <c:v>0.39473684210526316</c:v>
                </c:pt>
                <c:pt idx="37">
                  <c:v>0.38461538461538464</c:v>
                </c:pt>
                <c:pt idx="38">
                  <c:v>0.35</c:v>
                </c:pt>
                <c:pt idx="39">
                  <c:v>0.34146341463414637</c:v>
                </c:pt>
                <c:pt idx="40">
                  <c:v>0.33333333333333331</c:v>
                </c:pt>
                <c:pt idx="41">
                  <c:v>0.30232558139534882</c:v>
                </c:pt>
                <c:pt idx="42">
                  <c:v>0.28888888888888886</c:v>
                </c:pt>
                <c:pt idx="43">
                  <c:v>0.2608695652173913</c:v>
                </c:pt>
                <c:pt idx="44">
                  <c:v>0.25531914893617019</c:v>
                </c:pt>
                <c:pt idx="45">
                  <c:v>0.22916666666666666</c:v>
                </c:pt>
                <c:pt idx="46">
                  <c:v>0.22448979591836735</c:v>
                </c:pt>
                <c:pt idx="47">
                  <c:v>0.22</c:v>
                </c:pt>
                <c:pt idx="48">
                  <c:v>0.19607843137254902</c:v>
                </c:pt>
                <c:pt idx="49">
                  <c:v>0.17307692307692307</c:v>
                </c:pt>
                <c:pt idx="50">
                  <c:v>0.15094339622641509</c:v>
                </c:pt>
                <c:pt idx="51">
                  <c:v>0.12962962962962962</c:v>
                </c:pt>
                <c:pt idx="52">
                  <c:v>0.12727272727272726</c:v>
                </c:pt>
                <c:pt idx="53">
                  <c:v>0.10714285714285714</c:v>
                </c:pt>
                <c:pt idx="54">
                  <c:v>8.771929824561403E-2</c:v>
                </c:pt>
                <c:pt idx="55">
                  <c:v>8.6206896551724144E-2</c:v>
                </c:pt>
                <c:pt idx="56">
                  <c:v>8.4745762711864403E-2</c:v>
                </c:pt>
                <c:pt idx="57">
                  <c:v>8.3333333333333329E-2</c:v>
                </c:pt>
                <c:pt idx="58">
                  <c:v>6.5573770491803282E-2</c:v>
                </c:pt>
                <c:pt idx="59">
                  <c:v>6.4516129032258063E-2</c:v>
                </c:pt>
                <c:pt idx="60">
                  <c:v>6.3492063492063489E-2</c:v>
                </c:pt>
                <c:pt idx="61">
                  <c:v>4.6875E-2</c:v>
                </c:pt>
                <c:pt idx="62">
                  <c:v>4.6153846153846156E-2</c:v>
                </c:pt>
                <c:pt idx="63">
                  <c:v>4.5454545454545456E-2</c:v>
                </c:pt>
                <c:pt idx="64">
                  <c:v>4.4776119402985072E-2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6-3C95-694A-9DDB-8A09248A55EB}"/>
            </c:ext>
          </c:extLst>
        </c:ser>
        <c:ser>
          <c:idx val="7"/>
          <c:order val="6"/>
          <c:tx>
            <c:strRef>
              <c:f>Normalized!$L$1</c:f>
              <c:strCache>
                <c:ptCount val="1"/>
                <c:pt idx="0">
                  <c:v>Shared-task\effort</c:v>
                </c:pt>
              </c:strCache>
            </c:strRef>
          </c:tx>
          <c:spPr>
            <a:ln w="28575" cap="rnd">
              <a:solidFill>
                <a:schemeClr val="accent2">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Normalized!$L$2:$L$72</c:f>
              <c:numCache>
                <c:formatCode>General</c:formatCode>
                <c:ptCount val="71"/>
                <c:pt idx="0">
                  <c:v>15</c:v>
                </c:pt>
                <c:pt idx="1">
                  <c:v>7.5</c:v>
                </c:pt>
                <c:pt idx="2">
                  <c:v>5</c:v>
                </c:pt>
                <c:pt idx="3">
                  <c:v>3.75</c:v>
                </c:pt>
                <c:pt idx="4">
                  <c:v>3</c:v>
                </c:pt>
                <c:pt idx="5">
                  <c:v>2.5</c:v>
                </c:pt>
                <c:pt idx="6">
                  <c:v>2</c:v>
                </c:pt>
                <c:pt idx="7">
                  <c:v>1.75</c:v>
                </c:pt>
                <c:pt idx="8">
                  <c:v>1.4444444444444444</c:v>
                </c:pt>
                <c:pt idx="9">
                  <c:v>1.2</c:v>
                </c:pt>
                <c:pt idx="10">
                  <c:v>1.0909090909090908</c:v>
                </c:pt>
                <c:pt idx="11">
                  <c:v>1</c:v>
                </c:pt>
                <c:pt idx="12">
                  <c:v>0.92307692307692313</c:v>
                </c:pt>
                <c:pt idx="13">
                  <c:v>0.8571428571428571</c:v>
                </c:pt>
                <c:pt idx="14">
                  <c:v>0.8</c:v>
                </c:pt>
                <c:pt idx="15">
                  <c:v>0.75</c:v>
                </c:pt>
                <c:pt idx="16">
                  <c:v>0.70588235294117652</c:v>
                </c:pt>
                <c:pt idx="17">
                  <c:v>0.66666666666666663</c:v>
                </c:pt>
                <c:pt idx="18">
                  <c:v>0.63157894736842102</c:v>
                </c:pt>
                <c:pt idx="19">
                  <c:v>0.6</c:v>
                </c:pt>
                <c:pt idx="20">
                  <c:v>0.5714285714285714</c:v>
                </c:pt>
                <c:pt idx="21">
                  <c:v>0.54545454545454541</c:v>
                </c:pt>
                <c:pt idx="22">
                  <c:v>0.52173913043478259</c:v>
                </c:pt>
                <c:pt idx="23">
                  <c:v>0.5</c:v>
                </c:pt>
                <c:pt idx="24">
                  <c:v>0.48</c:v>
                </c:pt>
                <c:pt idx="25">
                  <c:v>0.46153846153846156</c:v>
                </c:pt>
                <c:pt idx="26">
                  <c:v>0.44444444444444442</c:v>
                </c:pt>
                <c:pt idx="27">
                  <c:v>0.42857142857142855</c:v>
                </c:pt>
                <c:pt idx="28">
                  <c:v>0.41379310344827586</c:v>
                </c:pt>
                <c:pt idx="29">
                  <c:v>0.4</c:v>
                </c:pt>
                <c:pt idx="30">
                  <c:v>0.38709677419354838</c:v>
                </c:pt>
                <c:pt idx="31">
                  <c:v>0.375</c:v>
                </c:pt>
                <c:pt idx="32">
                  <c:v>0.36363636363636365</c:v>
                </c:pt>
                <c:pt idx="33">
                  <c:v>0.35294117647058826</c:v>
                </c:pt>
                <c:pt idx="34">
                  <c:v>0.34285714285714286</c:v>
                </c:pt>
                <c:pt idx="35">
                  <c:v>0.33333333333333331</c:v>
                </c:pt>
                <c:pt idx="36">
                  <c:v>0.28947368421052633</c:v>
                </c:pt>
                <c:pt idx="37">
                  <c:v>0.28205128205128205</c:v>
                </c:pt>
                <c:pt idx="38">
                  <c:v>0.27500000000000002</c:v>
                </c:pt>
                <c:pt idx="39">
                  <c:v>0.26829268292682928</c:v>
                </c:pt>
                <c:pt idx="40">
                  <c:v>0.26190476190476192</c:v>
                </c:pt>
                <c:pt idx="41">
                  <c:v>0.23255813953488372</c:v>
                </c:pt>
                <c:pt idx="42">
                  <c:v>0.22222222222222221</c:v>
                </c:pt>
                <c:pt idx="43">
                  <c:v>0.21739130434782608</c:v>
                </c:pt>
                <c:pt idx="44">
                  <c:v>0.21276595744680851</c:v>
                </c:pt>
                <c:pt idx="45">
                  <c:v>0.1875</c:v>
                </c:pt>
                <c:pt idx="46">
                  <c:v>0.18367346938775511</c:v>
                </c:pt>
                <c:pt idx="47">
                  <c:v>0.18</c:v>
                </c:pt>
                <c:pt idx="48">
                  <c:v>0.17647058823529413</c:v>
                </c:pt>
                <c:pt idx="49">
                  <c:v>0.17307692307692307</c:v>
                </c:pt>
                <c:pt idx="50">
                  <c:v>0.15094339622641509</c:v>
                </c:pt>
                <c:pt idx="51">
                  <c:v>0.14814814814814814</c:v>
                </c:pt>
                <c:pt idx="52">
                  <c:v>0.14545454545454545</c:v>
                </c:pt>
                <c:pt idx="53">
                  <c:v>0.14285714285714285</c:v>
                </c:pt>
                <c:pt idx="54">
                  <c:v>0.14035087719298245</c:v>
                </c:pt>
                <c:pt idx="55">
                  <c:v>0.13793103448275862</c:v>
                </c:pt>
                <c:pt idx="56">
                  <c:v>0.13559322033898305</c:v>
                </c:pt>
                <c:pt idx="57">
                  <c:v>0.13333333333333333</c:v>
                </c:pt>
                <c:pt idx="58">
                  <c:v>0.13114754098360656</c:v>
                </c:pt>
                <c:pt idx="59">
                  <c:v>0.11290322580645161</c:v>
                </c:pt>
                <c:pt idx="60">
                  <c:v>0.1111111111111111</c:v>
                </c:pt>
                <c:pt idx="61">
                  <c:v>0.109375</c:v>
                </c:pt>
                <c:pt idx="62">
                  <c:v>0.1076923076923077</c:v>
                </c:pt>
                <c:pt idx="63">
                  <c:v>9.0909090909090912E-2</c:v>
                </c:pt>
                <c:pt idx="64">
                  <c:v>7.4626865671641784E-2</c:v>
                </c:pt>
                <c:pt idx="65">
                  <c:v>5.8823529411764705E-2</c:v>
                </c:pt>
                <c:pt idx="66">
                  <c:v>5.7971014492753624E-2</c:v>
                </c:pt>
                <c:pt idx="67">
                  <c:v>5.6338028169014086E-2</c:v>
                </c:pt>
                <c:pt idx="68">
                  <c:v>0.04</c:v>
                </c:pt>
                <c:pt idx="69">
                  <c:v>2.6315789473684209E-2</c:v>
                </c:pt>
                <c:pt idx="70">
                  <c:v>1.2987012987012988E-2</c:v>
                </c:pt>
              </c:numCache>
            </c:numRef>
          </c:val>
          <c:smooth val="0"/>
          <c:extLst>
            <c:ext xmlns:c16="http://schemas.microsoft.com/office/drawing/2014/chart" uri="{C3380CC4-5D6E-409C-BE32-E72D297353CC}">
              <c16:uniqueId val="{00000007-3C95-694A-9DDB-8A09248A55EB}"/>
            </c:ext>
          </c:extLst>
        </c:ser>
        <c:ser>
          <c:idx val="8"/>
          <c:order val="7"/>
          <c:tx>
            <c:strRef>
              <c:f>Normalized!$M$1</c:f>
              <c:strCache>
                <c:ptCount val="1"/>
                <c:pt idx="0">
                  <c:v>Language&amp;Cognition</c:v>
                </c:pt>
              </c:strCache>
            </c:strRef>
          </c:tx>
          <c:spPr>
            <a:ln w="28575" cap="rnd">
              <a:solidFill>
                <a:schemeClr val="accent3">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Normalized!$M$2:$M$72</c:f>
              <c:numCache>
                <c:formatCode>General</c:formatCode>
                <c:ptCount val="71"/>
                <c:pt idx="0">
                  <c:v>30</c:v>
                </c:pt>
                <c:pt idx="1">
                  <c:v>15</c:v>
                </c:pt>
                <c:pt idx="2">
                  <c:v>9.6666666666666661</c:v>
                </c:pt>
                <c:pt idx="3">
                  <c:v>7</c:v>
                </c:pt>
                <c:pt idx="4">
                  <c:v>5.4</c:v>
                </c:pt>
                <c:pt idx="5">
                  <c:v>4.333333333333333</c:v>
                </c:pt>
                <c:pt idx="6">
                  <c:v>3.5714285714285716</c:v>
                </c:pt>
                <c:pt idx="7">
                  <c:v>3</c:v>
                </c:pt>
                <c:pt idx="8">
                  <c:v>2.5555555555555554</c:v>
                </c:pt>
                <c:pt idx="9">
                  <c:v>2.2000000000000002</c:v>
                </c:pt>
                <c:pt idx="10">
                  <c:v>1.9090909090909092</c:v>
                </c:pt>
                <c:pt idx="11">
                  <c:v>1.6666666666666667</c:v>
                </c:pt>
                <c:pt idx="12">
                  <c:v>1.4615384615384615</c:v>
                </c:pt>
                <c:pt idx="13">
                  <c:v>1.3571428571428572</c:v>
                </c:pt>
                <c:pt idx="14">
                  <c:v>1.2666666666666666</c:v>
                </c:pt>
                <c:pt idx="15">
                  <c:v>1.1875</c:v>
                </c:pt>
                <c:pt idx="16">
                  <c:v>1.0588235294117647</c:v>
                </c:pt>
                <c:pt idx="17">
                  <c:v>0.94444444444444442</c:v>
                </c:pt>
                <c:pt idx="18">
                  <c:v>0.89473684210526316</c:v>
                </c:pt>
                <c:pt idx="19">
                  <c:v>0.85</c:v>
                </c:pt>
                <c:pt idx="20">
                  <c:v>0.80952380952380953</c:v>
                </c:pt>
                <c:pt idx="21">
                  <c:v>0.72727272727272729</c:v>
                </c:pt>
                <c:pt idx="22">
                  <c:v>0.69565217391304346</c:v>
                </c:pt>
                <c:pt idx="23">
                  <c:v>0.66666666666666663</c:v>
                </c:pt>
                <c:pt idx="24">
                  <c:v>0.64</c:v>
                </c:pt>
                <c:pt idx="25">
                  <c:v>0.57692307692307687</c:v>
                </c:pt>
                <c:pt idx="26">
                  <c:v>0.51851851851851849</c:v>
                </c:pt>
                <c:pt idx="27">
                  <c:v>0.5</c:v>
                </c:pt>
                <c:pt idx="28">
                  <c:v>0.44827586206896552</c:v>
                </c:pt>
                <c:pt idx="29">
                  <c:v>0.43333333333333335</c:v>
                </c:pt>
                <c:pt idx="30">
                  <c:v>0.41935483870967744</c:v>
                </c:pt>
                <c:pt idx="31">
                  <c:v>0.375</c:v>
                </c:pt>
                <c:pt idx="32">
                  <c:v>0.33333333333333331</c:v>
                </c:pt>
                <c:pt idx="33">
                  <c:v>0.3235294117647059</c:v>
                </c:pt>
                <c:pt idx="34">
                  <c:v>0.31428571428571428</c:v>
                </c:pt>
                <c:pt idx="35">
                  <c:v>0.30555555555555558</c:v>
                </c:pt>
                <c:pt idx="36">
                  <c:v>0.26315789473684209</c:v>
                </c:pt>
                <c:pt idx="37">
                  <c:v>0.25641025641025639</c:v>
                </c:pt>
                <c:pt idx="38">
                  <c:v>0.22500000000000001</c:v>
                </c:pt>
                <c:pt idx="39">
                  <c:v>0.21951219512195122</c:v>
                </c:pt>
                <c:pt idx="40">
                  <c:v>0.19047619047619047</c:v>
                </c:pt>
                <c:pt idx="41">
                  <c:v>0.16279069767441862</c:v>
                </c:pt>
                <c:pt idx="42">
                  <c:v>0.15555555555555556</c:v>
                </c:pt>
                <c:pt idx="43">
                  <c:v>0.15217391304347827</c:v>
                </c:pt>
                <c:pt idx="44">
                  <c:v>0.14893617021276595</c:v>
                </c:pt>
                <c:pt idx="45">
                  <c:v>0.125</c:v>
                </c:pt>
                <c:pt idx="46">
                  <c:v>0.12244897959183673</c:v>
                </c:pt>
                <c:pt idx="47">
                  <c:v>0.12</c:v>
                </c:pt>
                <c:pt idx="48">
                  <c:v>0.11764705882352941</c:v>
                </c:pt>
                <c:pt idx="49">
                  <c:v>9.6153846153846159E-2</c:v>
                </c:pt>
                <c:pt idx="50">
                  <c:v>9.4339622641509441E-2</c:v>
                </c:pt>
                <c:pt idx="51">
                  <c:v>9.2592592592592587E-2</c:v>
                </c:pt>
                <c:pt idx="52">
                  <c:v>9.0909090909090912E-2</c:v>
                </c:pt>
                <c:pt idx="53">
                  <c:v>7.1428571428571425E-2</c:v>
                </c:pt>
                <c:pt idx="54">
                  <c:v>7.0175438596491224E-2</c:v>
                </c:pt>
                <c:pt idx="55">
                  <c:v>6.8965517241379309E-2</c:v>
                </c:pt>
                <c:pt idx="56">
                  <c:v>6.7796610169491525E-2</c:v>
                </c:pt>
                <c:pt idx="57">
                  <c:v>6.6666666666666666E-2</c:v>
                </c:pt>
                <c:pt idx="58">
                  <c:v>6.5573770491803282E-2</c:v>
                </c:pt>
                <c:pt idx="59">
                  <c:v>4.8387096774193547E-2</c:v>
                </c:pt>
                <c:pt idx="60">
                  <c:v>3.1746031746031744E-2</c:v>
                </c:pt>
                <c:pt idx="61">
                  <c:v>3.125E-2</c:v>
                </c:pt>
                <c:pt idx="62">
                  <c:v>3.0769230769230771E-2</c:v>
                </c:pt>
                <c:pt idx="63">
                  <c:v>1.5151515151515152E-2</c:v>
                </c:pt>
                <c:pt idx="64">
                  <c:v>1.4925373134328358E-2</c:v>
                </c:pt>
                <c:pt idx="65">
                  <c:v>1.4705882352941176E-2</c:v>
                </c:pt>
                <c:pt idx="66">
                  <c:v>1.4492753623188406E-2</c:v>
                </c:pt>
                <c:pt idx="67">
                  <c:v>1.4084507042253521E-2</c:v>
                </c:pt>
                <c:pt idx="68">
                  <c:v>1.3333333333333334E-2</c:v>
                </c:pt>
                <c:pt idx="69">
                  <c:v>0</c:v>
                </c:pt>
                <c:pt idx="70">
                  <c:v>0</c:v>
                </c:pt>
              </c:numCache>
            </c:numRef>
          </c:val>
          <c:smooth val="0"/>
          <c:extLst>
            <c:ext xmlns:c16="http://schemas.microsoft.com/office/drawing/2014/chart" uri="{C3380CC4-5D6E-409C-BE32-E72D297353CC}">
              <c16:uniqueId val="{00000008-3C95-694A-9DDB-8A09248A55EB}"/>
            </c:ext>
          </c:extLst>
        </c:ser>
        <c:ser>
          <c:idx val="9"/>
          <c:order val="8"/>
          <c:tx>
            <c:strRef>
              <c:f>Normalized!$N$1</c:f>
              <c:strCache>
                <c:ptCount val="1"/>
                <c:pt idx="0">
                  <c:v>Open</c:v>
                </c:pt>
              </c:strCache>
            </c:strRef>
          </c:tx>
          <c:spPr>
            <a:ln w="28575" cap="rnd">
              <a:solidFill>
                <a:schemeClr val="accent4">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Normalized!$N$2:$N$72</c:f>
              <c:numCache>
                <c:formatCode>General</c:formatCode>
                <c:ptCount val="71"/>
                <c:pt idx="0">
                  <c:v>27</c:v>
                </c:pt>
                <c:pt idx="1">
                  <c:v>13.5</c:v>
                </c:pt>
                <c:pt idx="2">
                  <c:v>9</c:v>
                </c:pt>
                <c:pt idx="3">
                  <c:v>6.75</c:v>
                </c:pt>
                <c:pt idx="4">
                  <c:v>5.4</c:v>
                </c:pt>
                <c:pt idx="5">
                  <c:v>4.5</c:v>
                </c:pt>
                <c:pt idx="6">
                  <c:v>3.7142857142857144</c:v>
                </c:pt>
                <c:pt idx="7">
                  <c:v>3.25</c:v>
                </c:pt>
                <c:pt idx="8">
                  <c:v>2.8888888888888888</c:v>
                </c:pt>
                <c:pt idx="9">
                  <c:v>2.6</c:v>
                </c:pt>
                <c:pt idx="10">
                  <c:v>2.3636363636363638</c:v>
                </c:pt>
                <c:pt idx="11">
                  <c:v>2.1666666666666665</c:v>
                </c:pt>
                <c:pt idx="12">
                  <c:v>2</c:v>
                </c:pt>
                <c:pt idx="13">
                  <c:v>1.8571428571428572</c:v>
                </c:pt>
                <c:pt idx="14">
                  <c:v>1.7333333333333334</c:v>
                </c:pt>
                <c:pt idx="15">
                  <c:v>1.5625</c:v>
                </c:pt>
                <c:pt idx="16">
                  <c:v>1.4705882352941178</c:v>
                </c:pt>
                <c:pt idx="17">
                  <c:v>1.3888888888888888</c:v>
                </c:pt>
                <c:pt idx="18">
                  <c:v>1.3157894736842106</c:v>
                </c:pt>
                <c:pt idx="19">
                  <c:v>1.25</c:v>
                </c:pt>
                <c:pt idx="20">
                  <c:v>1.1904761904761905</c:v>
                </c:pt>
                <c:pt idx="21">
                  <c:v>1.1363636363636365</c:v>
                </c:pt>
                <c:pt idx="22">
                  <c:v>1.0434782608695652</c:v>
                </c:pt>
                <c:pt idx="23">
                  <c:v>0.95833333333333337</c:v>
                </c:pt>
                <c:pt idx="24">
                  <c:v>0.88</c:v>
                </c:pt>
                <c:pt idx="25">
                  <c:v>0.84615384615384615</c:v>
                </c:pt>
                <c:pt idx="26">
                  <c:v>0.77777777777777779</c:v>
                </c:pt>
                <c:pt idx="27">
                  <c:v>0.75</c:v>
                </c:pt>
                <c:pt idx="28">
                  <c:v>0.72413793103448276</c:v>
                </c:pt>
                <c:pt idx="29">
                  <c:v>0.66666666666666663</c:v>
                </c:pt>
                <c:pt idx="30">
                  <c:v>0.64516129032258063</c:v>
                </c:pt>
                <c:pt idx="31">
                  <c:v>0.625</c:v>
                </c:pt>
                <c:pt idx="32">
                  <c:v>0.60606060606060608</c:v>
                </c:pt>
                <c:pt idx="33">
                  <c:v>0.58823529411764708</c:v>
                </c:pt>
                <c:pt idx="34">
                  <c:v>0.5714285714285714</c:v>
                </c:pt>
                <c:pt idx="35">
                  <c:v>0.52777777777777779</c:v>
                </c:pt>
                <c:pt idx="36">
                  <c:v>0.47368421052631576</c:v>
                </c:pt>
                <c:pt idx="37">
                  <c:v>0.46153846153846156</c:v>
                </c:pt>
                <c:pt idx="38">
                  <c:v>0.45</c:v>
                </c:pt>
                <c:pt idx="39">
                  <c:v>0.41463414634146339</c:v>
                </c:pt>
                <c:pt idx="40">
                  <c:v>0.38095238095238093</c:v>
                </c:pt>
                <c:pt idx="41">
                  <c:v>0.34883720930232559</c:v>
                </c:pt>
                <c:pt idx="42">
                  <c:v>0.33333333333333331</c:v>
                </c:pt>
                <c:pt idx="43">
                  <c:v>0.32608695652173914</c:v>
                </c:pt>
                <c:pt idx="44">
                  <c:v>0.31914893617021278</c:v>
                </c:pt>
                <c:pt idx="45">
                  <c:v>0.29166666666666669</c:v>
                </c:pt>
                <c:pt idx="46">
                  <c:v>0.2857142857142857</c:v>
                </c:pt>
                <c:pt idx="47">
                  <c:v>0.28000000000000003</c:v>
                </c:pt>
                <c:pt idx="48">
                  <c:v>0.25490196078431371</c:v>
                </c:pt>
                <c:pt idx="49">
                  <c:v>0.23076923076923078</c:v>
                </c:pt>
                <c:pt idx="50">
                  <c:v>0.20754716981132076</c:v>
                </c:pt>
                <c:pt idx="51">
                  <c:v>0.18518518518518517</c:v>
                </c:pt>
                <c:pt idx="52">
                  <c:v>0.16363636363636364</c:v>
                </c:pt>
                <c:pt idx="53">
                  <c:v>0.16071428571428573</c:v>
                </c:pt>
                <c:pt idx="54">
                  <c:v>0.15789473684210525</c:v>
                </c:pt>
                <c:pt idx="55">
                  <c:v>0.15517241379310345</c:v>
                </c:pt>
                <c:pt idx="56">
                  <c:v>0.15254237288135594</c:v>
                </c:pt>
                <c:pt idx="57">
                  <c:v>0.15</c:v>
                </c:pt>
                <c:pt idx="58">
                  <c:v>0.14754098360655737</c:v>
                </c:pt>
                <c:pt idx="59">
                  <c:v>0.12903225806451613</c:v>
                </c:pt>
                <c:pt idx="60">
                  <c:v>0.1111111111111111</c:v>
                </c:pt>
                <c:pt idx="61">
                  <c:v>9.375E-2</c:v>
                </c:pt>
                <c:pt idx="62">
                  <c:v>9.2307692307692313E-2</c:v>
                </c:pt>
                <c:pt idx="63">
                  <c:v>7.575757575757576E-2</c:v>
                </c:pt>
                <c:pt idx="64">
                  <c:v>5.9701492537313432E-2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9-3C95-694A-9DDB-8A09248A55EB}"/>
            </c:ext>
          </c:extLst>
        </c:ser>
        <c:ser>
          <c:idx val="10"/>
          <c:order val="9"/>
          <c:tx>
            <c:strRef>
              <c:f>Normalized!$O$1</c:f>
              <c:strCache>
                <c:ptCount val="1"/>
                <c:pt idx="0">
                  <c:v>Meta-science</c:v>
                </c:pt>
              </c:strCache>
            </c:strRef>
          </c:tx>
          <c:spPr>
            <a:ln w="28575" cap="rnd">
              <a:solidFill>
                <a:schemeClr val="accent5">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Normalized!$O$2:$O$72</c:f>
              <c:numCache>
                <c:formatCode>General</c:formatCode>
                <c:ptCount val="71"/>
                <c:pt idx="0">
                  <c:v>30</c:v>
                </c:pt>
                <c:pt idx="1">
                  <c:v>15</c:v>
                </c:pt>
                <c:pt idx="2">
                  <c:v>10</c:v>
                </c:pt>
                <c:pt idx="3">
                  <c:v>7.5</c:v>
                </c:pt>
                <c:pt idx="4">
                  <c:v>5.8</c:v>
                </c:pt>
                <c:pt idx="5">
                  <c:v>4.666666666666667</c:v>
                </c:pt>
                <c:pt idx="6">
                  <c:v>3.8571428571428572</c:v>
                </c:pt>
                <c:pt idx="7">
                  <c:v>3.375</c:v>
                </c:pt>
                <c:pt idx="8">
                  <c:v>2.8888888888888888</c:v>
                </c:pt>
                <c:pt idx="9">
                  <c:v>2.5</c:v>
                </c:pt>
                <c:pt idx="10">
                  <c:v>2.1818181818181817</c:v>
                </c:pt>
                <c:pt idx="11">
                  <c:v>2</c:v>
                </c:pt>
                <c:pt idx="12">
                  <c:v>1.7692307692307692</c:v>
                </c:pt>
                <c:pt idx="13">
                  <c:v>1.6428571428571428</c:v>
                </c:pt>
                <c:pt idx="14">
                  <c:v>1.4666666666666666</c:v>
                </c:pt>
                <c:pt idx="15">
                  <c:v>1.375</c:v>
                </c:pt>
                <c:pt idx="16">
                  <c:v>1.2941176470588236</c:v>
                </c:pt>
                <c:pt idx="17">
                  <c:v>1.2222222222222223</c:v>
                </c:pt>
                <c:pt idx="18">
                  <c:v>1.1052631578947369</c:v>
                </c:pt>
                <c:pt idx="19">
                  <c:v>1</c:v>
                </c:pt>
                <c:pt idx="20">
                  <c:v>0.95238095238095233</c:v>
                </c:pt>
                <c:pt idx="21">
                  <c:v>0.90909090909090906</c:v>
                </c:pt>
                <c:pt idx="22">
                  <c:v>0.86956521739130432</c:v>
                </c:pt>
                <c:pt idx="23">
                  <c:v>0.79166666666666663</c:v>
                </c:pt>
                <c:pt idx="24">
                  <c:v>0.76</c:v>
                </c:pt>
                <c:pt idx="25">
                  <c:v>0.73076923076923073</c:v>
                </c:pt>
                <c:pt idx="26">
                  <c:v>0.66666666666666663</c:v>
                </c:pt>
                <c:pt idx="27">
                  <c:v>0.6428571428571429</c:v>
                </c:pt>
                <c:pt idx="28">
                  <c:v>0.62068965517241381</c:v>
                </c:pt>
                <c:pt idx="29">
                  <c:v>0.6</c:v>
                </c:pt>
                <c:pt idx="30">
                  <c:v>0.58064516129032262</c:v>
                </c:pt>
                <c:pt idx="31">
                  <c:v>0.5625</c:v>
                </c:pt>
                <c:pt idx="32">
                  <c:v>0.54545454545454541</c:v>
                </c:pt>
                <c:pt idx="33">
                  <c:v>0.52941176470588236</c:v>
                </c:pt>
                <c:pt idx="34">
                  <c:v>0.51428571428571423</c:v>
                </c:pt>
                <c:pt idx="35">
                  <c:v>0.47222222222222221</c:v>
                </c:pt>
                <c:pt idx="36">
                  <c:v>0.42105263157894735</c:v>
                </c:pt>
                <c:pt idx="37">
                  <c:v>0.41025641025641024</c:v>
                </c:pt>
                <c:pt idx="38">
                  <c:v>0.4</c:v>
                </c:pt>
                <c:pt idx="39">
                  <c:v>0.3902439024390244</c:v>
                </c:pt>
                <c:pt idx="40">
                  <c:v>0.38095238095238093</c:v>
                </c:pt>
                <c:pt idx="41">
                  <c:v>0.34883720930232559</c:v>
                </c:pt>
                <c:pt idx="42">
                  <c:v>0.33333333333333331</c:v>
                </c:pt>
                <c:pt idx="43">
                  <c:v>0.30434782608695654</c:v>
                </c:pt>
                <c:pt idx="44">
                  <c:v>0.2978723404255319</c:v>
                </c:pt>
                <c:pt idx="45">
                  <c:v>0.27083333333333331</c:v>
                </c:pt>
                <c:pt idx="46">
                  <c:v>0.26530612244897961</c:v>
                </c:pt>
                <c:pt idx="47">
                  <c:v>0.26</c:v>
                </c:pt>
                <c:pt idx="48">
                  <c:v>0.25490196078431371</c:v>
                </c:pt>
                <c:pt idx="49">
                  <c:v>0.23076923076923078</c:v>
                </c:pt>
                <c:pt idx="50">
                  <c:v>0.22641509433962265</c:v>
                </c:pt>
                <c:pt idx="51">
                  <c:v>0.20370370370370369</c:v>
                </c:pt>
                <c:pt idx="52">
                  <c:v>0.18181818181818182</c:v>
                </c:pt>
                <c:pt idx="53">
                  <c:v>0.17857142857142858</c:v>
                </c:pt>
                <c:pt idx="54">
                  <c:v>0.17543859649122806</c:v>
                </c:pt>
                <c:pt idx="55">
                  <c:v>0.17241379310344829</c:v>
                </c:pt>
                <c:pt idx="56">
                  <c:v>0.16949152542372881</c:v>
                </c:pt>
                <c:pt idx="57">
                  <c:v>0.16666666666666666</c:v>
                </c:pt>
                <c:pt idx="58">
                  <c:v>0.14754098360655737</c:v>
                </c:pt>
                <c:pt idx="59">
                  <c:v>0.12903225806451613</c:v>
                </c:pt>
                <c:pt idx="60">
                  <c:v>0.12698412698412698</c:v>
                </c:pt>
                <c:pt idx="61">
                  <c:v>0.109375</c:v>
                </c:pt>
                <c:pt idx="62">
                  <c:v>0.1076923076923077</c:v>
                </c:pt>
                <c:pt idx="63">
                  <c:v>9.0909090909090912E-2</c:v>
                </c:pt>
                <c:pt idx="64">
                  <c:v>7.4626865671641784E-2</c:v>
                </c:pt>
                <c:pt idx="65">
                  <c:v>5.8823529411764705E-2</c:v>
                </c:pt>
                <c:pt idx="66">
                  <c:v>5.7971014492753624E-2</c:v>
                </c:pt>
                <c:pt idx="67">
                  <c:v>5.6338028169014086E-2</c:v>
                </c:pt>
                <c:pt idx="68">
                  <c:v>0.04</c:v>
                </c:pt>
                <c:pt idx="69">
                  <c:v>2.6315789473684209E-2</c:v>
                </c:pt>
                <c:pt idx="70">
                  <c:v>1.2987012987012988E-2</c:v>
                </c:pt>
              </c:numCache>
            </c:numRef>
          </c:val>
          <c:smooth val="0"/>
          <c:extLst>
            <c:ext xmlns:c16="http://schemas.microsoft.com/office/drawing/2014/chart" uri="{C3380CC4-5D6E-409C-BE32-E72D297353CC}">
              <c16:uniqueId val="{0000000A-3C95-694A-9DDB-8A09248A55EB}"/>
            </c:ext>
          </c:extLst>
        </c:ser>
        <c:ser>
          <c:idx val="11"/>
          <c:order val="10"/>
          <c:tx>
            <c:strRef>
              <c:f>Normalized!$P$1</c:f>
              <c:strCache>
                <c:ptCount val="1"/>
                <c:pt idx="0">
                  <c:v>Enabling Low Budget Research</c:v>
                </c:pt>
              </c:strCache>
            </c:strRef>
          </c:tx>
          <c:spPr>
            <a:ln w="28575" cap="rnd">
              <a:solidFill>
                <a:schemeClr val="accent6">
                  <a:lumMod val="6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Normalized!$P$2:$P$72</c:f>
              <c:numCache>
                <c:formatCode>General</c:formatCode>
                <c:ptCount val="71"/>
                <c:pt idx="0">
                  <c:v>29</c:v>
                </c:pt>
                <c:pt idx="1">
                  <c:v>14.5</c:v>
                </c:pt>
                <c:pt idx="2">
                  <c:v>9.6666666666666661</c:v>
                </c:pt>
                <c:pt idx="3">
                  <c:v>7.25</c:v>
                </c:pt>
                <c:pt idx="4">
                  <c:v>5.6</c:v>
                </c:pt>
                <c:pt idx="5">
                  <c:v>4.666666666666667</c:v>
                </c:pt>
                <c:pt idx="6">
                  <c:v>3.8571428571428572</c:v>
                </c:pt>
                <c:pt idx="7">
                  <c:v>3.375</c:v>
                </c:pt>
                <c:pt idx="8">
                  <c:v>3</c:v>
                </c:pt>
                <c:pt idx="9">
                  <c:v>2.6</c:v>
                </c:pt>
                <c:pt idx="10">
                  <c:v>2.2727272727272729</c:v>
                </c:pt>
                <c:pt idx="11">
                  <c:v>2.0833333333333335</c:v>
                </c:pt>
                <c:pt idx="12">
                  <c:v>1.9230769230769231</c:v>
                </c:pt>
                <c:pt idx="13">
                  <c:v>1.7857142857142858</c:v>
                </c:pt>
                <c:pt idx="14">
                  <c:v>1.6666666666666667</c:v>
                </c:pt>
                <c:pt idx="15">
                  <c:v>1.5</c:v>
                </c:pt>
                <c:pt idx="16">
                  <c:v>1.411764705882353</c:v>
                </c:pt>
                <c:pt idx="17">
                  <c:v>1.3333333333333333</c:v>
                </c:pt>
                <c:pt idx="18">
                  <c:v>1.263157894736842</c:v>
                </c:pt>
                <c:pt idx="19">
                  <c:v>1.1499999999999999</c:v>
                </c:pt>
                <c:pt idx="20">
                  <c:v>1.0952380952380953</c:v>
                </c:pt>
                <c:pt idx="21">
                  <c:v>1.0454545454545454</c:v>
                </c:pt>
                <c:pt idx="22">
                  <c:v>1</c:v>
                </c:pt>
                <c:pt idx="23">
                  <c:v>0.91666666666666663</c:v>
                </c:pt>
                <c:pt idx="24">
                  <c:v>0.84</c:v>
                </c:pt>
                <c:pt idx="25">
                  <c:v>0.80769230769230771</c:v>
                </c:pt>
                <c:pt idx="26">
                  <c:v>0.77777777777777779</c:v>
                </c:pt>
                <c:pt idx="27">
                  <c:v>0.75</c:v>
                </c:pt>
                <c:pt idx="28">
                  <c:v>0.72413793103448276</c:v>
                </c:pt>
                <c:pt idx="29">
                  <c:v>0.66666666666666663</c:v>
                </c:pt>
                <c:pt idx="30">
                  <c:v>0.64516129032258063</c:v>
                </c:pt>
                <c:pt idx="31">
                  <c:v>0.625</c:v>
                </c:pt>
                <c:pt idx="32">
                  <c:v>0.60606060606060608</c:v>
                </c:pt>
                <c:pt idx="33">
                  <c:v>0.58823529411764708</c:v>
                </c:pt>
                <c:pt idx="34">
                  <c:v>0.5714285714285714</c:v>
                </c:pt>
                <c:pt idx="35">
                  <c:v>0.52777777777777779</c:v>
                </c:pt>
                <c:pt idx="36">
                  <c:v>0.47368421052631576</c:v>
                </c:pt>
                <c:pt idx="37">
                  <c:v>0.46153846153846156</c:v>
                </c:pt>
                <c:pt idx="38">
                  <c:v>0.45</c:v>
                </c:pt>
                <c:pt idx="39">
                  <c:v>0.41463414634146339</c:v>
                </c:pt>
                <c:pt idx="40">
                  <c:v>0.40476190476190477</c:v>
                </c:pt>
                <c:pt idx="41">
                  <c:v>0.39534883720930231</c:v>
                </c:pt>
                <c:pt idx="42">
                  <c:v>0.37777777777777777</c:v>
                </c:pt>
                <c:pt idx="43">
                  <c:v>0.34782608695652173</c:v>
                </c:pt>
                <c:pt idx="44">
                  <c:v>0.34042553191489361</c:v>
                </c:pt>
                <c:pt idx="45">
                  <c:v>0.3125</c:v>
                </c:pt>
                <c:pt idx="46">
                  <c:v>0.2857142857142857</c:v>
                </c:pt>
                <c:pt idx="47">
                  <c:v>0.28000000000000003</c:v>
                </c:pt>
                <c:pt idx="48">
                  <c:v>0.25490196078431371</c:v>
                </c:pt>
                <c:pt idx="49">
                  <c:v>0.23076923076923078</c:v>
                </c:pt>
                <c:pt idx="50">
                  <c:v>0.20754716981132076</c:v>
                </c:pt>
                <c:pt idx="51">
                  <c:v>0.18518518518518517</c:v>
                </c:pt>
                <c:pt idx="52">
                  <c:v>0.16363636363636364</c:v>
                </c:pt>
                <c:pt idx="53">
                  <c:v>0.14285714285714285</c:v>
                </c:pt>
                <c:pt idx="54">
                  <c:v>0.12280701754385964</c:v>
                </c:pt>
                <c:pt idx="55">
                  <c:v>0.1206896551724138</c:v>
                </c:pt>
                <c:pt idx="56">
                  <c:v>0.11864406779661017</c:v>
                </c:pt>
                <c:pt idx="57">
                  <c:v>0.11666666666666667</c:v>
                </c:pt>
                <c:pt idx="58">
                  <c:v>0.11475409836065574</c:v>
                </c:pt>
                <c:pt idx="59">
                  <c:v>9.6774193548387094E-2</c:v>
                </c:pt>
                <c:pt idx="60">
                  <c:v>9.5238095238095233E-2</c:v>
                </c:pt>
                <c:pt idx="61">
                  <c:v>9.375E-2</c:v>
                </c:pt>
                <c:pt idx="62">
                  <c:v>9.2307692307692313E-2</c:v>
                </c:pt>
                <c:pt idx="63">
                  <c:v>7.575757575757576E-2</c:v>
                </c:pt>
                <c:pt idx="64">
                  <c:v>5.9701492537313432E-2</c:v>
                </c:pt>
                <c:pt idx="65">
                  <c:v>4.4117647058823532E-2</c:v>
                </c:pt>
                <c:pt idx="66">
                  <c:v>4.3478260869565216E-2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B-3C95-694A-9DDB-8A09248A55EB}"/>
            </c:ext>
          </c:extLst>
        </c:ser>
        <c:ser>
          <c:idx val="12"/>
          <c:order val="11"/>
          <c:tx>
            <c:strRef>
              <c:f>Normalized!$Q$1</c:f>
              <c:strCache>
                <c:ptCount val="1"/>
                <c:pt idx="0">
                  <c:v>Efficiency</c:v>
                </c:pt>
              </c:strCache>
            </c:strRef>
          </c:tx>
          <c:spPr>
            <a:ln w="28575" cap="rnd">
              <a:solidFill>
                <a:schemeClr val="accent1">
                  <a:lumMod val="80000"/>
                  <a:lumOff val="20000"/>
                </a:schemeClr>
              </a:solidFill>
              <a:round/>
            </a:ln>
            <a:effectLst/>
          </c:spPr>
          <c:marker>
            <c:symbol val="none"/>
          </c:marker>
          <c:cat>
            <c:numRef>
              <c:f>Normalized!$A$2:$A$72</c:f>
              <c:numCache>
                <c:formatCode>General</c:formatCode>
                <c:ptCount val="7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38</c:v>
                </c:pt>
                <c:pt idx="37">
                  <c:v>39</c:v>
                </c:pt>
                <c:pt idx="38">
                  <c:v>40</c:v>
                </c:pt>
                <c:pt idx="39">
                  <c:v>41</c:v>
                </c:pt>
                <c:pt idx="40">
                  <c:v>42</c:v>
                </c:pt>
                <c:pt idx="41">
                  <c:v>43</c:v>
                </c:pt>
                <c:pt idx="42">
                  <c:v>45</c:v>
                </c:pt>
                <c:pt idx="43">
                  <c:v>46</c:v>
                </c:pt>
                <c:pt idx="44">
                  <c:v>47</c:v>
                </c:pt>
                <c:pt idx="45">
                  <c:v>48</c:v>
                </c:pt>
                <c:pt idx="46">
                  <c:v>49</c:v>
                </c:pt>
                <c:pt idx="47">
                  <c:v>50</c:v>
                </c:pt>
                <c:pt idx="48">
                  <c:v>51</c:v>
                </c:pt>
                <c:pt idx="49">
                  <c:v>52</c:v>
                </c:pt>
                <c:pt idx="50">
                  <c:v>53</c:v>
                </c:pt>
                <c:pt idx="51">
                  <c:v>54</c:v>
                </c:pt>
                <c:pt idx="52">
                  <c:v>55</c:v>
                </c:pt>
                <c:pt idx="53">
                  <c:v>56</c:v>
                </c:pt>
                <c:pt idx="54">
                  <c:v>57</c:v>
                </c:pt>
                <c:pt idx="55">
                  <c:v>58</c:v>
                </c:pt>
                <c:pt idx="56">
                  <c:v>59</c:v>
                </c:pt>
                <c:pt idx="57">
                  <c:v>60</c:v>
                </c:pt>
                <c:pt idx="58">
                  <c:v>61</c:v>
                </c:pt>
                <c:pt idx="59">
                  <c:v>62</c:v>
                </c:pt>
                <c:pt idx="60">
                  <c:v>63</c:v>
                </c:pt>
                <c:pt idx="61">
                  <c:v>64</c:v>
                </c:pt>
                <c:pt idx="62">
                  <c:v>65</c:v>
                </c:pt>
                <c:pt idx="63">
                  <c:v>66</c:v>
                </c:pt>
                <c:pt idx="64">
                  <c:v>67</c:v>
                </c:pt>
                <c:pt idx="65">
                  <c:v>68</c:v>
                </c:pt>
                <c:pt idx="66">
                  <c:v>69</c:v>
                </c:pt>
                <c:pt idx="67">
                  <c:v>71</c:v>
                </c:pt>
                <c:pt idx="68">
                  <c:v>75</c:v>
                </c:pt>
                <c:pt idx="69">
                  <c:v>76</c:v>
                </c:pt>
                <c:pt idx="70">
                  <c:v>77</c:v>
                </c:pt>
              </c:numCache>
            </c:numRef>
          </c:cat>
          <c:val>
            <c:numRef>
              <c:f>Normalized!$Q$2:$Q$72</c:f>
              <c:numCache>
                <c:formatCode>General</c:formatCode>
                <c:ptCount val="71"/>
                <c:pt idx="0">
                  <c:v>35</c:v>
                </c:pt>
                <c:pt idx="1">
                  <c:v>17.5</c:v>
                </c:pt>
                <c:pt idx="2">
                  <c:v>11.666666666666666</c:v>
                </c:pt>
                <c:pt idx="3">
                  <c:v>8.5</c:v>
                </c:pt>
                <c:pt idx="4">
                  <c:v>6.6</c:v>
                </c:pt>
                <c:pt idx="5">
                  <c:v>5.5</c:v>
                </c:pt>
                <c:pt idx="6">
                  <c:v>4.7142857142857144</c:v>
                </c:pt>
                <c:pt idx="7">
                  <c:v>4.125</c:v>
                </c:pt>
                <c:pt idx="8">
                  <c:v>3.6666666666666665</c:v>
                </c:pt>
                <c:pt idx="9">
                  <c:v>3.2</c:v>
                </c:pt>
                <c:pt idx="10">
                  <c:v>2.8181818181818183</c:v>
                </c:pt>
                <c:pt idx="11">
                  <c:v>2.5833333333333335</c:v>
                </c:pt>
                <c:pt idx="12">
                  <c:v>2.3846153846153846</c:v>
                </c:pt>
                <c:pt idx="13">
                  <c:v>2.2142857142857144</c:v>
                </c:pt>
                <c:pt idx="14">
                  <c:v>2</c:v>
                </c:pt>
                <c:pt idx="15">
                  <c:v>1.8125</c:v>
                </c:pt>
                <c:pt idx="16">
                  <c:v>1.7058823529411764</c:v>
                </c:pt>
                <c:pt idx="17">
                  <c:v>1.6111111111111112</c:v>
                </c:pt>
                <c:pt idx="18">
                  <c:v>1.5263157894736843</c:v>
                </c:pt>
                <c:pt idx="19">
                  <c:v>1.45</c:v>
                </c:pt>
                <c:pt idx="20">
                  <c:v>1.3809523809523809</c:v>
                </c:pt>
                <c:pt idx="21">
                  <c:v>1.3181818181818181</c:v>
                </c:pt>
                <c:pt idx="22">
                  <c:v>1.2608695652173914</c:v>
                </c:pt>
                <c:pt idx="23">
                  <c:v>1.1666666666666667</c:v>
                </c:pt>
                <c:pt idx="24">
                  <c:v>1.08</c:v>
                </c:pt>
                <c:pt idx="25">
                  <c:v>1</c:v>
                </c:pt>
                <c:pt idx="26">
                  <c:v>0.96296296296296291</c:v>
                </c:pt>
                <c:pt idx="27">
                  <c:v>0.8928571428571429</c:v>
                </c:pt>
                <c:pt idx="28">
                  <c:v>0.86206896551724133</c:v>
                </c:pt>
                <c:pt idx="29">
                  <c:v>0.8</c:v>
                </c:pt>
                <c:pt idx="30">
                  <c:v>0.77419354838709675</c:v>
                </c:pt>
                <c:pt idx="31">
                  <c:v>0.71875</c:v>
                </c:pt>
                <c:pt idx="32">
                  <c:v>0.69696969696969702</c:v>
                </c:pt>
                <c:pt idx="33">
                  <c:v>0.67647058823529416</c:v>
                </c:pt>
                <c:pt idx="34">
                  <c:v>0.65714285714285714</c:v>
                </c:pt>
                <c:pt idx="35">
                  <c:v>0.61111111111111116</c:v>
                </c:pt>
                <c:pt idx="36">
                  <c:v>0.55263157894736847</c:v>
                </c:pt>
                <c:pt idx="37">
                  <c:v>0.53846153846153844</c:v>
                </c:pt>
                <c:pt idx="38">
                  <c:v>0.52500000000000002</c:v>
                </c:pt>
                <c:pt idx="39">
                  <c:v>0.48780487804878048</c:v>
                </c:pt>
                <c:pt idx="40">
                  <c:v>0.47619047619047616</c:v>
                </c:pt>
                <c:pt idx="41">
                  <c:v>0.46511627906976744</c:v>
                </c:pt>
                <c:pt idx="42">
                  <c:v>0.42222222222222222</c:v>
                </c:pt>
                <c:pt idx="43">
                  <c:v>0.39130434782608697</c:v>
                </c:pt>
                <c:pt idx="44">
                  <c:v>0.38297872340425532</c:v>
                </c:pt>
                <c:pt idx="45">
                  <c:v>0.35416666666666669</c:v>
                </c:pt>
                <c:pt idx="46">
                  <c:v>0.32653061224489793</c:v>
                </c:pt>
                <c:pt idx="47">
                  <c:v>0.3</c:v>
                </c:pt>
                <c:pt idx="48">
                  <c:v>0.27450980392156865</c:v>
                </c:pt>
                <c:pt idx="49">
                  <c:v>0.26923076923076922</c:v>
                </c:pt>
                <c:pt idx="50">
                  <c:v>0.26415094339622641</c:v>
                </c:pt>
                <c:pt idx="51">
                  <c:v>0.24074074074074073</c:v>
                </c:pt>
                <c:pt idx="52">
                  <c:v>0.21818181818181817</c:v>
                </c:pt>
                <c:pt idx="53">
                  <c:v>0.19642857142857142</c:v>
                </c:pt>
                <c:pt idx="54">
                  <c:v>0.17543859649122806</c:v>
                </c:pt>
                <c:pt idx="55">
                  <c:v>0.17241379310344829</c:v>
                </c:pt>
                <c:pt idx="56">
                  <c:v>0.15254237288135594</c:v>
                </c:pt>
                <c:pt idx="57">
                  <c:v>0.15</c:v>
                </c:pt>
                <c:pt idx="58">
                  <c:v>0.14754098360655737</c:v>
                </c:pt>
                <c:pt idx="59">
                  <c:v>0.12903225806451613</c:v>
                </c:pt>
                <c:pt idx="60">
                  <c:v>0.1111111111111111</c:v>
                </c:pt>
                <c:pt idx="61">
                  <c:v>0.109375</c:v>
                </c:pt>
                <c:pt idx="62">
                  <c:v>9.2307692307692313E-2</c:v>
                </c:pt>
                <c:pt idx="63">
                  <c:v>7.575757575757576E-2</c:v>
                </c:pt>
                <c:pt idx="64">
                  <c:v>5.9701492537313432E-2</c:v>
                </c:pt>
                <c:pt idx="65">
                  <c:v>5.8823529411764705E-2</c:v>
                </c:pt>
                <c:pt idx="66">
                  <c:v>5.7971014492753624E-2</c:v>
                </c:pt>
                <c:pt idx="67">
                  <c:v>4.2253521126760563E-2</c:v>
                </c:pt>
                <c:pt idx="68">
                  <c:v>0.04</c:v>
                </c:pt>
                <c:pt idx="69">
                  <c:v>2.6315789473684209E-2</c:v>
                </c:pt>
                <c:pt idx="70">
                  <c:v>1.2987012987012988E-2</c:v>
                </c:pt>
              </c:numCache>
            </c:numRef>
          </c:val>
          <c:smooth val="0"/>
          <c:extLst>
            <c:ext xmlns:c16="http://schemas.microsoft.com/office/drawing/2014/chart" uri="{C3380CC4-5D6E-409C-BE32-E72D297353CC}">
              <c16:uniqueId val="{0000000C-3C95-694A-9DDB-8A09248A55EB}"/>
            </c:ext>
          </c:extLst>
        </c:ser>
        <c:dLbls>
          <c:showLegendKey val="0"/>
          <c:showVal val="0"/>
          <c:showCatName val="0"/>
          <c:showSerName val="0"/>
          <c:showPercent val="0"/>
          <c:showBubbleSize val="0"/>
        </c:dLbls>
        <c:smooth val="0"/>
        <c:axId val="570676320"/>
        <c:axId val="541288415"/>
      </c:lineChart>
      <c:catAx>
        <c:axId val="570676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1288415"/>
        <c:crosses val="autoZero"/>
        <c:auto val="1"/>
        <c:lblAlgn val="ctr"/>
        <c:lblOffset val="100"/>
        <c:noMultiLvlLbl val="0"/>
      </c:catAx>
      <c:valAx>
        <c:axId val="541288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676320"/>
        <c:crosses val="autoZero"/>
        <c:crossBetween val="between"/>
      </c:valAx>
      <c:spPr>
        <a:noFill/>
        <a:ln>
          <a:noFill/>
        </a:ln>
        <a:effectLst>
          <a:softEdge rad="586200"/>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17</xdr:col>
      <xdr:colOff>76200</xdr:colOff>
      <xdr:row>45</xdr:row>
      <xdr:rowOff>0</xdr:rowOff>
    </xdr:from>
    <xdr:to>
      <xdr:col>22</xdr:col>
      <xdr:colOff>520700</xdr:colOff>
      <xdr:row>58</xdr:row>
      <xdr:rowOff>101600</xdr:rowOff>
    </xdr:to>
    <xdr:graphicFrame macro="">
      <xdr:nvGraphicFramePr>
        <xdr:cNvPr id="2" name="Chart 1">
          <a:extLst>
            <a:ext uri="{FF2B5EF4-FFF2-40B4-BE49-F238E27FC236}">
              <a16:creationId xmlns:a16="http://schemas.microsoft.com/office/drawing/2014/main" id="{8C7EEEB0-D852-1FE1-DEB5-916F634A1E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596900</xdr:colOff>
      <xdr:row>26</xdr:row>
      <xdr:rowOff>25400</xdr:rowOff>
    </xdr:from>
    <xdr:to>
      <xdr:col>31</xdr:col>
      <xdr:colOff>406400</xdr:colOff>
      <xdr:row>67</xdr:row>
      <xdr:rowOff>76200</xdr:rowOff>
    </xdr:to>
    <xdr:graphicFrame macro="">
      <xdr:nvGraphicFramePr>
        <xdr:cNvPr id="2" name="Chart 1">
          <a:extLst>
            <a:ext uri="{FF2B5EF4-FFF2-40B4-BE49-F238E27FC236}">
              <a16:creationId xmlns:a16="http://schemas.microsoft.com/office/drawing/2014/main" id="{84238D2B-0684-3B77-2ED5-ACC8C70DD6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view_op=view_citation&amp;hl=en&amp;user=8b8IhUYAAAAJ&amp;sortby=pubdate&amp;citation_for_view=8b8IhUYAAAAJ:ZHo1McVdvXMC" TargetMode="External"/><Relationship Id="rId13" Type="http://schemas.openxmlformats.org/officeDocument/2006/relationships/hyperlink" Target="https://arxiv.org/abs/2408.07057" TargetMode="External"/><Relationship Id="rId18" Type="http://schemas.openxmlformats.org/officeDocument/2006/relationships/hyperlink" Target="https://arxiv.org/abs/2402.16842" TargetMode="External"/><Relationship Id="rId26" Type="http://schemas.openxmlformats.org/officeDocument/2006/relationships/hyperlink" Target="https://openreview.net/profile?email=leshem.choshen%40mail.huji.ac.il" TargetMode="External"/><Relationship Id="rId3" Type="http://schemas.openxmlformats.org/officeDocument/2006/relationships/hyperlink" Target="https://arxiv.org/abs/2407.00066" TargetMode="External"/><Relationship Id="rId21" Type="http://schemas.openxmlformats.org/officeDocument/2006/relationships/hyperlink" Target="https://openreview.net/forum?id=jvNVmkGxiU&amp;referrer=%5BAuthor%20Console%5D(%2Fgroup%3Fid%3DEMNLP%2F2023%2FConference%2FAuthors%23your-submissions)" TargetMode="External"/><Relationship Id="rId7" Type="http://schemas.openxmlformats.org/officeDocument/2006/relationships/hyperlink" Target="https://scholar.google.com/citations?view_op=view_citation&amp;hl=en&amp;user=8b8IhUYAAAAJ&amp;sortby=pubdate&amp;citation_for_view=8b8IhUYAAAAJ:3s1wT3WcHBgC" TargetMode="External"/><Relationship Id="rId12" Type="http://schemas.openxmlformats.org/officeDocument/2006/relationships/hyperlink" Target="https://arxiv.org/abs/2405.09605" TargetMode="External"/><Relationship Id="rId17" Type="http://schemas.openxmlformats.org/officeDocument/2006/relationships/hyperlink" Target="https://arxiv.org/abs/2402.14992" TargetMode="External"/><Relationship Id="rId25" Type="http://schemas.openxmlformats.org/officeDocument/2006/relationships/hyperlink" Target="https://scholar.google.com/citations?view_op=view_citation&amp;hl=en&amp;user=8b8IhUYAAAAJ&amp;sortby=pubdate&amp;citation_for_view=8b8IhUYAAAAJ:ULOm3_A8WrAC" TargetMode="External"/><Relationship Id="rId2" Type="http://schemas.openxmlformats.org/officeDocument/2006/relationships/hyperlink" Target="https://osf.io/preprints/psyarxiv/rfwgd" TargetMode="External"/><Relationship Id="rId16" Type="http://schemas.openxmlformats.org/officeDocument/2006/relationships/hyperlink" Target="https://arxiv.org/abs/2404.18923" TargetMode="External"/><Relationship Id="rId20" Type="http://schemas.openxmlformats.org/officeDocument/2006/relationships/hyperlink" Target="https://arxiv.org/abs/2407.21530" TargetMode="External"/><Relationship Id="rId29" Type="http://schemas.openxmlformats.org/officeDocument/2006/relationships/hyperlink" Target="https://scholar.google.com/citations?view_op=view_citation&amp;hl=en&amp;user=8b8IhUYAAAAJ&amp;sortby=pubdate&amp;citation_for_view=8b8IhUYAAAAJ:a0OBvERweLwC" TargetMode="External"/><Relationship Id="rId1" Type="http://schemas.openxmlformats.org/officeDocument/2006/relationships/hyperlink" Target="https://openreview.net/forum?id=rcFyU93Oa7&amp;referrer=%5BAuthor%20Console%5D(%2Fgroup%3Fid%3DEMNLP%2F2023%2FConference%2FAuthors%23your-submissions)" TargetMode="External"/><Relationship Id="rId6" Type="http://schemas.openxmlformats.org/officeDocument/2006/relationships/hyperlink" Target="https://arxiv.org/abs/2408.08291" TargetMode="External"/><Relationship Id="rId11" Type="http://schemas.openxmlformats.org/officeDocument/2006/relationships/hyperlink" Target="https://arxiv.org/abs/2405.17202" TargetMode="External"/><Relationship Id="rId24" Type="http://schemas.openxmlformats.org/officeDocument/2006/relationships/hyperlink" Target="https://scholar.google.com/citations?view_op=view_citation&amp;hl=en&amp;user=8b8IhUYAAAAJ&amp;sortby=pubdate&amp;citation_for_view=8b8IhUYAAAAJ:YOwf2qJgpHMC" TargetMode="External"/><Relationship Id="rId5" Type="http://schemas.openxmlformats.org/officeDocument/2006/relationships/hyperlink" Target="https://arxiv.org/abs/2407.10944" TargetMode="External"/><Relationship Id="rId15" Type="http://schemas.openxmlformats.org/officeDocument/2006/relationships/hyperlink" Target="https://arxiv.org/abs/2401.14019" TargetMode="External"/><Relationship Id="rId23" Type="http://schemas.openxmlformats.org/officeDocument/2006/relationships/hyperlink" Target="https://arxiv.org/abs/2204.03044" TargetMode="External"/><Relationship Id="rId28" Type="http://schemas.openxmlformats.org/officeDocument/2006/relationships/hyperlink" Target="https://scholar.google.com/citations?view_op=view_citation&amp;hl=en&amp;user=8b8IhUYAAAAJ&amp;cstart=20&amp;pagesize=80&amp;citation_for_view=8b8IhUYAAAAJ:j3f4tGmQtD8C" TargetMode="External"/><Relationship Id="rId10" Type="http://schemas.openxmlformats.org/officeDocument/2006/relationships/hyperlink" Target="https://arxiv.org/abs/2404.00459" TargetMode="External"/><Relationship Id="rId19" Type="http://schemas.openxmlformats.org/officeDocument/2006/relationships/hyperlink" Target="https://scholar.google.co.il/citations?view_op=view_citation&amp;hl=ar&amp;user=n9iywfAAAAAJ&amp;citation_for_view=n9iywfAAAAAJ:Y0pCki6q_DkC" TargetMode="External"/><Relationship Id="rId4" Type="http://schemas.openxmlformats.org/officeDocument/2006/relationships/hyperlink" Target="https://arxiv.org/abs/2407.13696" TargetMode="External"/><Relationship Id="rId9" Type="http://schemas.openxmlformats.org/officeDocument/2006/relationships/hyperlink" Target="https://arxiv.org/abs/2404.15198" TargetMode="External"/><Relationship Id="rId14" Type="http://schemas.openxmlformats.org/officeDocument/2006/relationships/hyperlink" Target="https://arxiv.org/abs/2402.07891" TargetMode="External"/><Relationship Id="rId22" Type="http://schemas.openxmlformats.org/officeDocument/2006/relationships/hyperlink" Target="https://scholar.google.com/citations?view_op=view_citation&amp;hl=en&amp;user=8b8IhUYAAAAJ&amp;sortby=pubdate&amp;citation_for_view=8b8IhUYAAAAJ:qxL8FJ1GzNcC" TargetMode="External"/><Relationship Id="rId27" Type="http://schemas.openxmlformats.org/officeDocument/2006/relationships/hyperlink" Target="https://scholar.google.com/citations?view_op=view_citation&amp;hl=en&amp;user=8b8IhUYAAAAJ&amp;sortby=pubdate&amp;citation_for_view=8b8IhUYAAAAJ:zA6iFVUQeVQC"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7768-849A-7540-AC05-5E1BE041CC8E}">
  <dimension ref="A1:AH136"/>
  <sheetViews>
    <sheetView tabSelected="1" workbookViewId="0">
      <pane ySplit="1" topLeftCell="A2" activePane="bottomLeft" state="frozen"/>
      <selection pane="bottomLeft" activeCell="B1" sqref="B1"/>
    </sheetView>
  </sheetViews>
  <sheetFormatPr baseColWidth="10" defaultRowHeight="16"/>
  <cols>
    <col min="3" max="3" width="29.5" customWidth="1"/>
    <col min="4" max="4" width="38" customWidth="1"/>
    <col min="5" max="5" width="12.83203125" customWidth="1"/>
    <col min="14" max="14" width="14" customWidth="1"/>
    <col min="20" max="20" width="10.5" customWidth="1"/>
    <col min="21" max="21" width="13.6640625" customWidth="1"/>
    <col min="24" max="24" width="10.6640625" customWidth="1"/>
  </cols>
  <sheetData>
    <row r="1" spans="1:34">
      <c r="A1" t="s">
        <v>192</v>
      </c>
      <c r="B1" t="s">
        <v>312</v>
      </c>
      <c r="C1" t="s">
        <v>137</v>
      </c>
      <c r="D1" t="s">
        <v>263</v>
      </c>
      <c r="E1" t="s">
        <v>138</v>
      </c>
      <c r="F1" t="s">
        <v>136</v>
      </c>
      <c r="G1" t="s">
        <v>276</v>
      </c>
      <c r="H1" t="s">
        <v>311</v>
      </c>
      <c r="I1" t="s">
        <v>310</v>
      </c>
      <c r="J1" t="s">
        <v>307</v>
      </c>
      <c r="K1" t="s">
        <v>306</v>
      </c>
      <c r="L1" t="s">
        <v>309</v>
      </c>
      <c r="M1" t="s">
        <v>308</v>
      </c>
      <c r="N1" t="s">
        <v>278</v>
      </c>
      <c r="O1" t="s">
        <v>280</v>
      </c>
      <c r="P1" t="s">
        <v>277</v>
      </c>
      <c r="Q1" t="s">
        <v>162</v>
      </c>
      <c r="R1" t="s">
        <v>181</v>
      </c>
      <c r="S1" t="s">
        <v>163</v>
      </c>
      <c r="T1" t="s">
        <v>164</v>
      </c>
      <c r="U1" t="s">
        <v>279</v>
      </c>
      <c r="V1" t="s">
        <v>165</v>
      </c>
      <c r="W1" t="s">
        <v>166</v>
      </c>
      <c r="X1" t="s">
        <v>275</v>
      </c>
      <c r="Y1" t="s">
        <v>174</v>
      </c>
      <c r="Z1" t="s">
        <v>167</v>
      </c>
      <c r="AA1" t="s">
        <v>191</v>
      </c>
      <c r="AB1" t="s">
        <v>274</v>
      </c>
      <c r="AC1" t="s">
        <v>264</v>
      </c>
      <c r="AD1" t="s">
        <v>264</v>
      </c>
      <c r="AE1" t="s">
        <v>265</v>
      </c>
      <c r="AF1" t="s">
        <v>266</v>
      </c>
      <c r="AG1" t="s">
        <v>274</v>
      </c>
      <c r="AH1" t="s">
        <v>313</v>
      </c>
    </row>
    <row r="2" spans="1:34">
      <c r="A2">
        <v>1</v>
      </c>
      <c r="B2" s="1" t="s">
        <v>51</v>
      </c>
      <c r="C2" t="s">
        <v>52</v>
      </c>
      <c r="D2" t="s">
        <v>253</v>
      </c>
      <c r="E2" t="s">
        <v>134</v>
      </c>
      <c r="F2">
        <v>2018</v>
      </c>
      <c r="P2">
        <v>1</v>
      </c>
      <c r="R2" s="4">
        <v>1</v>
      </c>
      <c r="Z2">
        <v>1</v>
      </c>
      <c r="AA2">
        <v>1</v>
      </c>
      <c r="AB2">
        <f t="shared" ref="AB2:AB40" si="0">IF(SUM(X2,S2,O2,V2),0,1)</f>
        <v>1</v>
      </c>
      <c r="AC2">
        <f>IF(SUM(S2,O2)&gt;0,1,0)</f>
        <v>0</v>
      </c>
      <c r="AD2" t="str">
        <f t="shared" ref="AD2:AD33" si="1">IF(AC2,D2,"")</f>
        <v/>
      </c>
      <c r="AE2" t="str">
        <f t="shared" ref="AE2:AE33" si="2">IF(V2,D2,"")</f>
        <v/>
      </c>
      <c r="AF2" t="str">
        <f t="shared" ref="AF2:AF33" si="3">IF(X2,D2,"")</f>
        <v/>
      </c>
      <c r="AG2" t="str">
        <f t="shared" ref="AG2:AG36" si="4">IF(AB2,D2,"")</f>
        <v xml:space="preserve"> DBLP:conf/iclr/FoxCL18</v>
      </c>
      <c r="AH2">
        <f>IF(Y2+S2&gt;1,1,0)</f>
        <v>0</v>
      </c>
    </row>
    <row r="3" spans="1:34">
      <c r="A3">
        <v>2</v>
      </c>
      <c r="B3" s="1" t="s">
        <v>132</v>
      </c>
      <c r="C3" s="5" t="s">
        <v>133</v>
      </c>
      <c r="D3" t="s">
        <v>252</v>
      </c>
      <c r="E3" t="s">
        <v>118</v>
      </c>
      <c r="F3">
        <v>2018</v>
      </c>
      <c r="G3">
        <v>1</v>
      </c>
      <c r="N3">
        <v>1</v>
      </c>
      <c r="P3">
        <v>1</v>
      </c>
      <c r="R3" s="4"/>
      <c r="S3">
        <v>1</v>
      </c>
      <c r="U3">
        <v>1</v>
      </c>
      <c r="Z3">
        <v>1</v>
      </c>
      <c r="AA3">
        <v>1</v>
      </c>
      <c r="AB3">
        <f t="shared" si="0"/>
        <v>0</v>
      </c>
      <c r="AC3">
        <f t="shared" ref="AC3:AC66" si="5">IF(SUM(S3,O3)&gt;0,1,0)</f>
        <v>1</v>
      </c>
      <c r="AD3" t="str">
        <f t="shared" si="1"/>
        <v>DBLP:conf/naacl/ChoshenA18</v>
      </c>
      <c r="AE3" t="str">
        <f t="shared" si="2"/>
        <v/>
      </c>
      <c r="AF3" t="str">
        <f t="shared" si="3"/>
        <v/>
      </c>
      <c r="AG3" t="str">
        <f t="shared" si="4"/>
        <v/>
      </c>
      <c r="AH3">
        <f>IF(Y3+S3&gt;1,1,0)</f>
        <v>0</v>
      </c>
    </row>
    <row r="4" spans="1:34">
      <c r="A4">
        <v>3</v>
      </c>
      <c r="B4" s="1" t="s">
        <v>50</v>
      </c>
      <c r="C4" t="s">
        <v>130</v>
      </c>
      <c r="D4" t="s">
        <v>220</v>
      </c>
      <c r="E4" t="s">
        <v>131</v>
      </c>
      <c r="F4">
        <v>2018</v>
      </c>
      <c r="G4">
        <v>1</v>
      </c>
      <c r="I4">
        <v>1</v>
      </c>
      <c r="P4">
        <v>1</v>
      </c>
      <c r="R4" s="4">
        <v>1</v>
      </c>
      <c r="U4">
        <v>1</v>
      </c>
      <c r="Y4">
        <v>1</v>
      </c>
      <c r="Z4">
        <v>1</v>
      </c>
      <c r="AA4">
        <v>1</v>
      </c>
      <c r="AB4">
        <f t="shared" si="0"/>
        <v>1</v>
      </c>
      <c r="AC4">
        <f t="shared" si="5"/>
        <v>0</v>
      </c>
      <c r="AD4" t="str">
        <f t="shared" si="1"/>
        <v/>
      </c>
      <c r="AE4" t="str">
        <f t="shared" si="2"/>
        <v/>
      </c>
      <c r="AF4" t="str">
        <f t="shared" si="3"/>
        <v/>
      </c>
      <c r="AG4" t="str">
        <f t="shared" si="4"/>
        <v>DBLP:conf/acl/ShnarchPDGHCAS18</v>
      </c>
    </row>
    <row r="5" spans="1:34">
      <c r="A5">
        <v>4</v>
      </c>
      <c r="B5" s="1" t="s">
        <v>49</v>
      </c>
      <c r="C5" t="s">
        <v>129</v>
      </c>
      <c r="D5" t="s">
        <v>251</v>
      </c>
      <c r="E5" t="s">
        <v>118</v>
      </c>
      <c r="F5">
        <v>2018</v>
      </c>
      <c r="G5">
        <v>1</v>
      </c>
      <c r="N5">
        <v>1</v>
      </c>
      <c r="O5">
        <v>1</v>
      </c>
      <c r="P5">
        <v>1</v>
      </c>
      <c r="R5" s="4"/>
      <c r="S5">
        <v>1</v>
      </c>
      <c r="U5">
        <v>1</v>
      </c>
      <c r="W5">
        <v>1</v>
      </c>
      <c r="X5">
        <v>1</v>
      </c>
      <c r="Y5">
        <v>1</v>
      </c>
      <c r="Z5">
        <v>1</v>
      </c>
      <c r="AA5">
        <v>1</v>
      </c>
      <c r="AB5">
        <f t="shared" si="0"/>
        <v>0</v>
      </c>
      <c r="AC5">
        <f t="shared" si="5"/>
        <v>1</v>
      </c>
      <c r="AD5" t="str">
        <f t="shared" si="1"/>
        <v xml:space="preserve"> DBLP:conf/acl/AbendC18a</v>
      </c>
      <c r="AE5" t="str">
        <f t="shared" si="2"/>
        <v/>
      </c>
      <c r="AF5" t="str">
        <f t="shared" si="3"/>
        <v xml:space="preserve"> DBLP:conf/acl/AbendC18a</v>
      </c>
      <c r="AG5" t="str">
        <f t="shared" si="4"/>
        <v/>
      </c>
      <c r="AH5">
        <f t="shared" ref="AH5:AH7" si="6">IF(Y5+S5&gt;1,1,0)</f>
        <v>1</v>
      </c>
    </row>
    <row r="6" spans="1:34">
      <c r="A6">
        <v>5</v>
      </c>
      <c r="B6" s="1" t="s">
        <v>48</v>
      </c>
      <c r="C6" t="s">
        <v>128</v>
      </c>
      <c r="D6" t="s">
        <v>250</v>
      </c>
      <c r="E6" t="s">
        <v>118</v>
      </c>
      <c r="F6">
        <v>2018</v>
      </c>
      <c r="G6">
        <v>1</v>
      </c>
      <c r="O6">
        <v>1</v>
      </c>
      <c r="R6" s="4"/>
      <c r="S6">
        <v>1</v>
      </c>
      <c r="U6">
        <v>1</v>
      </c>
      <c r="W6">
        <v>1</v>
      </c>
      <c r="Z6">
        <v>1</v>
      </c>
      <c r="AA6">
        <v>1</v>
      </c>
      <c r="AB6">
        <f t="shared" si="0"/>
        <v>0</v>
      </c>
      <c r="AC6">
        <f t="shared" si="5"/>
        <v>1</v>
      </c>
      <c r="AD6" t="str">
        <f t="shared" si="1"/>
        <v>DBLP:conf/acl/AbendC18</v>
      </c>
      <c r="AE6" t="str">
        <f t="shared" si="2"/>
        <v/>
      </c>
      <c r="AF6" t="str">
        <f t="shared" si="3"/>
        <v/>
      </c>
      <c r="AG6" t="str">
        <f t="shared" si="4"/>
        <v/>
      </c>
      <c r="AH6">
        <f t="shared" si="6"/>
        <v>0</v>
      </c>
    </row>
    <row r="7" spans="1:34">
      <c r="A7">
        <v>6</v>
      </c>
      <c r="B7" s="1" t="s">
        <v>47</v>
      </c>
      <c r="C7" t="s">
        <v>127</v>
      </c>
      <c r="D7" t="s">
        <v>249</v>
      </c>
      <c r="E7" t="s">
        <v>126</v>
      </c>
      <c r="F7">
        <v>2019</v>
      </c>
      <c r="G7">
        <v>1</v>
      </c>
      <c r="N7">
        <v>1</v>
      </c>
      <c r="Q7">
        <v>1</v>
      </c>
      <c r="R7" s="4"/>
      <c r="S7">
        <v>1</v>
      </c>
      <c r="T7">
        <v>1</v>
      </c>
      <c r="U7">
        <v>1</v>
      </c>
      <c r="V7">
        <v>1</v>
      </c>
      <c r="W7">
        <v>1</v>
      </c>
      <c r="X7">
        <v>1</v>
      </c>
      <c r="Z7">
        <v>1</v>
      </c>
      <c r="AA7">
        <v>1</v>
      </c>
      <c r="AB7">
        <f t="shared" si="0"/>
        <v>0</v>
      </c>
      <c r="AC7">
        <f t="shared" si="5"/>
        <v>1</v>
      </c>
      <c r="AD7" t="str">
        <f t="shared" si="1"/>
        <v>DBLP:conf/semeval/HershcovichACSR19</v>
      </c>
      <c r="AE7" t="str">
        <f t="shared" si="2"/>
        <v>DBLP:conf/semeval/HershcovichACSR19</v>
      </c>
      <c r="AF7" t="str">
        <f t="shared" si="3"/>
        <v>DBLP:conf/semeval/HershcovichACSR19</v>
      </c>
      <c r="AG7" t="str">
        <f t="shared" si="4"/>
        <v/>
      </c>
      <c r="AH7">
        <f t="shared" si="6"/>
        <v>0</v>
      </c>
    </row>
    <row r="8" spans="1:34">
      <c r="A8">
        <v>7</v>
      </c>
      <c r="B8" s="1" t="s">
        <v>46</v>
      </c>
      <c r="C8" t="s">
        <v>124</v>
      </c>
      <c r="D8" t="s">
        <v>248</v>
      </c>
      <c r="E8" t="s">
        <v>125</v>
      </c>
      <c r="F8">
        <v>2019</v>
      </c>
      <c r="G8">
        <v>1</v>
      </c>
      <c r="I8">
        <v>1</v>
      </c>
      <c r="P8">
        <v>1</v>
      </c>
      <c r="R8" s="4">
        <v>1</v>
      </c>
      <c r="U8">
        <v>1</v>
      </c>
      <c r="Z8">
        <v>1</v>
      </c>
      <c r="AA8">
        <v>1</v>
      </c>
      <c r="AB8">
        <f t="shared" si="0"/>
        <v>1</v>
      </c>
      <c r="AC8">
        <f t="shared" si="5"/>
        <v>0</v>
      </c>
      <c r="AD8" t="str">
        <f t="shared" si="1"/>
        <v/>
      </c>
      <c r="AE8" t="str">
        <f t="shared" si="2"/>
        <v/>
      </c>
      <c r="AF8" t="str">
        <f t="shared" si="3"/>
        <v/>
      </c>
      <c r="AG8" t="str">
        <f t="shared" si="4"/>
        <v>DBLP:conf/acl/GleizeSCDMAS19</v>
      </c>
    </row>
    <row r="9" spans="1:34">
      <c r="A9">
        <v>8</v>
      </c>
      <c r="B9" s="1" t="s">
        <v>45</v>
      </c>
      <c r="C9" t="s">
        <v>122</v>
      </c>
      <c r="D9" t="s">
        <v>247</v>
      </c>
      <c r="E9" t="s">
        <v>123</v>
      </c>
      <c r="F9">
        <v>2019</v>
      </c>
      <c r="G9">
        <v>1</v>
      </c>
      <c r="O9">
        <v>1</v>
      </c>
      <c r="R9" s="4"/>
      <c r="T9">
        <v>1</v>
      </c>
      <c r="U9">
        <v>1</v>
      </c>
      <c r="W9">
        <v>1</v>
      </c>
      <c r="Z9">
        <v>1</v>
      </c>
      <c r="AA9">
        <v>1</v>
      </c>
      <c r="AB9">
        <f t="shared" si="0"/>
        <v>0</v>
      </c>
      <c r="AC9">
        <f t="shared" si="5"/>
        <v>1</v>
      </c>
      <c r="AD9" t="str">
        <f t="shared" si="1"/>
        <v>DBLP:conf/acl/ChoshenEHSA19</v>
      </c>
      <c r="AE9" t="str">
        <f t="shared" si="2"/>
        <v/>
      </c>
      <c r="AF9" t="str">
        <f t="shared" si="3"/>
        <v/>
      </c>
      <c r="AG9" t="str">
        <f t="shared" si="4"/>
        <v/>
      </c>
      <c r="AH9">
        <f>IF(Y9+S9&gt;1,1,0)</f>
        <v>0</v>
      </c>
    </row>
    <row r="10" spans="1:34">
      <c r="A10">
        <v>9</v>
      </c>
      <c r="B10" s="1" t="s">
        <v>44</v>
      </c>
      <c r="C10" t="s">
        <v>120</v>
      </c>
      <c r="D10" t="s">
        <v>246</v>
      </c>
      <c r="E10" t="s">
        <v>121</v>
      </c>
      <c r="F10">
        <v>2019</v>
      </c>
      <c r="G10">
        <v>1</v>
      </c>
      <c r="I10">
        <v>1</v>
      </c>
      <c r="N10">
        <v>1</v>
      </c>
      <c r="P10">
        <v>1</v>
      </c>
      <c r="R10" s="4">
        <v>1</v>
      </c>
      <c r="T10">
        <v>1</v>
      </c>
      <c r="U10">
        <v>1</v>
      </c>
      <c r="W10">
        <v>1</v>
      </c>
      <c r="X10">
        <v>1</v>
      </c>
      <c r="Y10">
        <v>1</v>
      </c>
      <c r="Z10">
        <v>1</v>
      </c>
      <c r="AA10">
        <v>1</v>
      </c>
      <c r="AB10">
        <f t="shared" si="0"/>
        <v>0</v>
      </c>
      <c r="AC10">
        <f t="shared" si="5"/>
        <v>0</v>
      </c>
      <c r="AD10" t="str">
        <f t="shared" si="1"/>
        <v/>
      </c>
      <c r="AE10" t="str">
        <f t="shared" si="2"/>
        <v/>
      </c>
      <c r="AF10" t="str">
        <f t="shared" si="3"/>
        <v>DBLP:conf/bea/KantorKCCLTMS19</v>
      </c>
      <c r="AG10" t="str">
        <f t="shared" si="4"/>
        <v/>
      </c>
    </row>
    <row r="11" spans="1:34">
      <c r="A11">
        <v>10</v>
      </c>
      <c r="B11" s="1" t="s">
        <v>43</v>
      </c>
      <c r="C11" t="s">
        <v>119</v>
      </c>
      <c r="D11" t="s">
        <v>245</v>
      </c>
      <c r="E11" t="s">
        <v>118</v>
      </c>
      <c r="F11">
        <v>2019</v>
      </c>
      <c r="G11">
        <v>1</v>
      </c>
      <c r="N11">
        <v>1</v>
      </c>
      <c r="O11">
        <v>1</v>
      </c>
      <c r="P11">
        <v>1</v>
      </c>
      <c r="Q11">
        <v>1</v>
      </c>
      <c r="R11" s="4"/>
      <c r="S11">
        <v>1</v>
      </c>
      <c r="U11">
        <v>1</v>
      </c>
      <c r="W11">
        <v>1</v>
      </c>
      <c r="X11">
        <v>1</v>
      </c>
      <c r="Y11">
        <v>1</v>
      </c>
      <c r="Z11">
        <v>1</v>
      </c>
      <c r="AA11">
        <v>1</v>
      </c>
      <c r="AB11">
        <f t="shared" si="0"/>
        <v>0</v>
      </c>
      <c r="AC11">
        <f t="shared" si="5"/>
        <v>1</v>
      </c>
      <c r="AD11" t="str">
        <f t="shared" si="1"/>
        <v>DBLP:conf/conll/ChoshenA19</v>
      </c>
      <c r="AE11" t="str">
        <f t="shared" si="2"/>
        <v/>
      </c>
      <c r="AF11" t="str">
        <f t="shared" si="3"/>
        <v>DBLP:conf/conll/ChoshenA19</v>
      </c>
      <c r="AG11" t="str">
        <f t="shared" si="4"/>
        <v/>
      </c>
      <c r="AH11">
        <f>IF(Y11+S11&gt;1,1,0)</f>
        <v>1</v>
      </c>
    </row>
    <row r="12" spans="1:34">
      <c r="A12">
        <v>11</v>
      </c>
      <c r="B12" s="1" t="s">
        <v>42</v>
      </c>
      <c r="C12" t="s">
        <v>116</v>
      </c>
      <c r="D12" t="s">
        <v>244</v>
      </c>
      <c r="E12" t="s">
        <v>117</v>
      </c>
      <c r="F12">
        <v>2020</v>
      </c>
      <c r="G12">
        <v>1</v>
      </c>
      <c r="I12">
        <v>1</v>
      </c>
      <c r="N12">
        <v>1</v>
      </c>
      <c r="P12">
        <v>1</v>
      </c>
      <c r="Q12">
        <v>1</v>
      </c>
      <c r="R12" s="4">
        <v>1</v>
      </c>
      <c r="S12">
        <v>1</v>
      </c>
      <c r="U12">
        <v>1</v>
      </c>
      <c r="Z12">
        <v>1</v>
      </c>
      <c r="AA12">
        <v>1</v>
      </c>
      <c r="AB12">
        <f t="shared" si="0"/>
        <v>0</v>
      </c>
      <c r="AC12">
        <f t="shared" si="5"/>
        <v>1</v>
      </c>
      <c r="AD12" t="str">
        <f t="shared" si="1"/>
        <v>DBLP:conf/aaai/Ein-DorSDHSGAGC20</v>
      </c>
      <c r="AE12" t="str">
        <f t="shared" si="2"/>
        <v/>
      </c>
      <c r="AF12" t="str">
        <f t="shared" si="3"/>
        <v/>
      </c>
      <c r="AG12" t="str">
        <f t="shared" si="4"/>
        <v/>
      </c>
    </row>
    <row r="13" spans="1:34">
      <c r="A13">
        <v>12</v>
      </c>
      <c r="B13" s="1" t="s">
        <v>41</v>
      </c>
      <c r="C13" t="s">
        <v>152</v>
      </c>
      <c r="D13" t="s">
        <v>243</v>
      </c>
      <c r="E13" t="s">
        <v>153</v>
      </c>
      <c r="F13">
        <v>2020</v>
      </c>
      <c r="G13">
        <v>1</v>
      </c>
      <c r="O13">
        <v>1</v>
      </c>
      <c r="R13" s="4">
        <v>1</v>
      </c>
      <c r="S13">
        <v>1</v>
      </c>
      <c r="U13">
        <v>1</v>
      </c>
      <c r="W13">
        <v>1</v>
      </c>
      <c r="Z13">
        <v>1</v>
      </c>
      <c r="AA13">
        <v>1</v>
      </c>
      <c r="AB13">
        <f t="shared" si="0"/>
        <v>0</v>
      </c>
      <c r="AC13">
        <f t="shared" si="5"/>
        <v>1</v>
      </c>
      <c r="AD13" t="str">
        <f t="shared" si="1"/>
        <v>DBLP:conf/iclr/ChoshenFAA20</v>
      </c>
      <c r="AE13" t="str">
        <f t="shared" si="2"/>
        <v/>
      </c>
      <c r="AF13" t="str">
        <f t="shared" si="3"/>
        <v/>
      </c>
      <c r="AG13" t="str">
        <f t="shared" si="4"/>
        <v/>
      </c>
      <c r="AH13">
        <f t="shared" ref="AH13:AH17" si="7">IF(Y13+S13&gt;1,1,0)</f>
        <v>0</v>
      </c>
    </row>
    <row r="14" spans="1:34">
      <c r="A14">
        <v>13</v>
      </c>
      <c r="B14" s="2" t="s">
        <v>40</v>
      </c>
      <c r="C14" t="s">
        <v>150</v>
      </c>
      <c r="D14" t="s">
        <v>219</v>
      </c>
      <c r="E14" t="s">
        <v>151</v>
      </c>
      <c r="F14">
        <v>2020</v>
      </c>
      <c r="G14">
        <v>1</v>
      </c>
      <c r="O14">
        <v>1</v>
      </c>
      <c r="R14" s="4"/>
      <c r="Z14">
        <v>1</v>
      </c>
      <c r="AA14">
        <v>1</v>
      </c>
      <c r="AB14">
        <f t="shared" si="0"/>
        <v>0</v>
      </c>
      <c r="AC14">
        <f t="shared" si="5"/>
        <v>1</v>
      </c>
      <c r="AD14" t="str">
        <f t="shared" si="1"/>
        <v>DBLP:conf/icml/HacohenCW20</v>
      </c>
      <c r="AE14" t="str">
        <f t="shared" si="2"/>
        <v/>
      </c>
      <c r="AF14" t="str">
        <f t="shared" si="3"/>
        <v/>
      </c>
      <c r="AG14" t="str">
        <f t="shared" si="4"/>
        <v/>
      </c>
      <c r="AH14">
        <f t="shared" si="7"/>
        <v>0</v>
      </c>
    </row>
    <row r="15" spans="1:34">
      <c r="A15">
        <v>14</v>
      </c>
      <c r="B15" s="1" t="s">
        <v>39</v>
      </c>
      <c r="C15" t="s">
        <v>148</v>
      </c>
      <c r="D15" t="s">
        <v>242</v>
      </c>
      <c r="E15" t="s">
        <v>149</v>
      </c>
      <c r="F15">
        <v>2020</v>
      </c>
      <c r="G15">
        <v>1</v>
      </c>
      <c r="N15">
        <v>1</v>
      </c>
      <c r="R15" s="4">
        <v>1</v>
      </c>
      <c r="S15">
        <v>1</v>
      </c>
      <c r="W15">
        <v>1</v>
      </c>
      <c r="Y15">
        <v>1</v>
      </c>
      <c r="Z15">
        <v>1</v>
      </c>
      <c r="AA15">
        <v>1</v>
      </c>
      <c r="AB15">
        <f t="shared" si="0"/>
        <v>0</v>
      </c>
      <c r="AC15">
        <f t="shared" si="5"/>
        <v>1</v>
      </c>
      <c r="AD15" t="str">
        <f t="shared" si="1"/>
        <v>DBLP:conf/emnlp/Ein-DorHGSDCDAK20</v>
      </c>
      <c r="AE15" t="str">
        <f t="shared" si="2"/>
        <v/>
      </c>
      <c r="AF15" t="str">
        <f t="shared" si="3"/>
        <v/>
      </c>
      <c r="AG15" t="str">
        <f t="shared" si="4"/>
        <v/>
      </c>
      <c r="AH15">
        <f t="shared" si="7"/>
        <v>1</v>
      </c>
    </row>
    <row r="16" spans="1:34">
      <c r="A16">
        <v>15</v>
      </c>
      <c r="B16" s="1" t="s">
        <v>38</v>
      </c>
      <c r="C16" t="s">
        <v>146</v>
      </c>
      <c r="D16" t="s">
        <v>241</v>
      </c>
      <c r="E16" t="s">
        <v>147</v>
      </c>
      <c r="F16">
        <v>2020</v>
      </c>
      <c r="G16">
        <v>1</v>
      </c>
      <c r="N16">
        <v>1</v>
      </c>
      <c r="O16">
        <v>1</v>
      </c>
      <c r="P16">
        <v>1</v>
      </c>
      <c r="R16" s="4">
        <v>1</v>
      </c>
      <c r="S16">
        <v>1</v>
      </c>
      <c r="V16">
        <v>1</v>
      </c>
      <c r="X16">
        <v>1</v>
      </c>
      <c r="Y16">
        <v>1</v>
      </c>
      <c r="Z16">
        <v>1</v>
      </c>
      <c r="AA16">
        <v>1</v>
      </c>
      <c r="AB16">
        <f t="shared" si="0"/>
        <v>0</v>
      </c>
      <c r="AC16">
        <f t="shared" si="5"/>
        <v>1</v>
      </c>
      <c r="AD16" t="str">
        <f t="shared" si="1"/>
        <v>DBLP:conf/emnlp/ShnarchCMAS20</v>
      </c>
      <c r="AE16" t="str">
        <f t="shared" si="2"/>
        <v>DBLP:conf/emnlp/ShnarchCMAS20</v>
      </c>
      <c r="AF16" t="str">
        <f t="shared" si="3"/>
        <v>DBLP:conf/emnlp/ShnarchCMAS20</v>
      </c>
      <c r="AG16" t="str">
        <f t="shared" si="4"/>
        <v/>
      </c>
      <c r="AH16">
        <f t="shared" si="7"/>
        <v>1</v>
      </c>
    </row>
    <row r="17" spans="1:34">
      <c r="A17">
        <v>16</v>
      </c>
      <c r="B17" s="1" t="s">
        <v>37</v>
      </c>
      <c r="C17" t="s">
        <v>144</v>
      </c>
      <c r="D17" t="s">
        <v>218</v>
      </c>
      <c r="E17" t="s">
        <v>145</v>
      </c>
      <c r="F17">
        <v>2020</v>
      </c>
      <c r="G17">
        <v>1</v>
      </c>
      <c r="N17">
        <v>1</v>
      </c>
      <c r="O17">
        <v>1</v>
      </c>
      <c r="P17">
        <v>1</v>
      </c>
      <c r="R17" s="4"/>
      <c r="S17">
        <v>1</v>
      </c>
      <c r="U17">
        <v>1</v>
      </c>
      <c r="Z17">
        <v>1</v>
      </c>
      <c r="AA17">
        <v>1</v>
      </c>
      <c r="AB17">
        <f t="shared" si="0"/>
        <v>0</v>
      </c>
      <c r="AC17">
        <f t="shared" si="5"/>
        <v>1</v>
      </c>
      <c r="AD17" t="str">
        <f t="shared" si="1"/>
        <v>DBLP:conf/conll/ChoshenNBA20</v>
      </c>
      <c r="AE17" t="str">
        <f t="shared" si="2"/>
        <v/>
      </c>
      <c r="AF17" t="str">
        <f t="shared" si="3"/>
        <v/>
      </c>
      <c r="AG17" t="str">
        <f t="shared" si="4"/>
        <v/>
      </c>
      <c r="AH17">
        <f t="shared" si="7"/>
        <v>0</v>
      </c>
    </row>
    <row r="18" spans="1:34" ht="18">
      <c r="A18">
        <v>17</v>
      </c>
      <c r="B18" s="3" t="s">
        <v>36</v>
      </c>
      <c r="C18" t="s">
        <v>143</v>
      </c>
      <c r="D18" t="s">
        <v>217</v>
      </c>
      <c r="E18" t="s">
        <v>115</v>
      </c>
      <c r="F18" s="4">
        <v>2021</v>
      </c>
      <c r="G18">
        <v>1</v>
      </c>
      <c r="I18">
        <v>1</v>
      </c>
      <c r="J18" s="4"/>
      <c r="K18" s="4"/>
      <c r="L18" s="4"/>
      <c r="N18">
        <v>1</v>
      </c>
      <c r="P18">
        <v>1</v>
      </c>
      <c r="Q18">
        <v>1</v>
      </c>
      <c r="R18" s="4">
        <v>1</v>
      </c>
      <c r="U18">
        <v>1</v>
      </c>
      <c r="Z18">
        <v>1</v>
      </c>
      <c r="AA18">
        <v>1</v>
      </c>
      <c r="AB18">
        <f t="shared" si="0"/>
        <v>1</v>
      </c>
      <c r="AC18">
        <f t="shared" si="5"/>
        <v>0</v>
      </c>
      <c r="AD18" t="str">
        <f t="shared" si="1"/>
        <v/>
      </c>
      <c r="AE18" t="str">
        <f t="shared" si="2"/>
        <v/>
      </c>
      <c r="AF18" t="str">
        <f t="shared" si="3"/>
        <v/>
      </c>
      <c r="AG18" t="str">
        <f t="shared" si="4"/>
        <v>DBLP:journals/nature/SlonimBABBBCCDE21</v>
      </c>
    </row>
    <row r="19" spans="1:34">
      <c r="A19">
        <v>18</v>
      </c>
      <c r="B19" s="1" t="s">
        <v>35</v>
      </c>
      <c r="C19" t="s">
        <v>99</v>
      </c>
      <c r="D19" t="s">
        <v>240</v>
      </c>
      <c r="E19" t="s">
        <v>100</v>
      </c>
      <c r="F19" s="4">
        <v>2021</v>
      </c>
      <c r="G19">
        <v>1</v>
      </c>
      <c r="J19" s="4"/>
      <c r="K19" s="4"/>
      <c r="L19" s="4"/>
      <c r="O19">
        <v>1</v>
      </c>
      <c r="R19" s="4"/>
      <c r="W19">
        <v>1</v>
      </c>
      <c r="Z19">
        <v>1</v>
      </c>
      <c r="AA19">
        <v>1</v>
      </c>
      <c r="AB19">
        <f t="shared" si="0"/>
        <v>0</v>
      </c>
      <c r="AC19">
        <f t="shared" si="5"/>
        <v>1</v>
      </c>
      <c r="AD19" t="str">
        <f t="shared" si="1"/>
        <v>DBLP:conf/naacl/SlobodkinCA21</v>
      </c>
      <c r="AE19" t="str">
        <f t="shared" si="2"/>
        <v/>
      </c>
      <c r="AF19" t="str">
        <f t="shared" si="3"/>
        <v/>
      </c>
      <c r="AG19" t="str">
        <f t="shared" si="4"/>
        <v/>
      </c>
      <c r="AH19">
        <f t="shared" ref="AH19:AH23" si="8">IF(Y19+S19&gt;1,1,0)</f>
        <v>0</v>
      </c>
    </row>
    <row r="20" spans="1:34">
      <c r="A20">
        <v>19</v>
      </c>
      <c r="B20" s="1" t="s">
        <v>34</v>
      </c>
      <c r="C20" t="s">
        <v>97</v>
      </c>
      <c r="D20" t="s">
        <v>216</v>
      </c>
      <c r="E20" t="s">
        <v>98</v>
      </c>
      <c r="F20" s="4">
        <v>2021</v>
      </c>
      <c r="G20">
        <v>1</v>
      </c>
      <c r="J20" s="4"/>
      <c r="K20" s="4"/>
      <c r="L20" s="4"/>
      <c r="N20">
        <v>1</v>
      </c>
      <c r="O20">
        <v>1</v>
      </c>
      <c r="P20">
        <v>1</v>
      </c>
      <c r="R20" s="4"/>
      <c r="S20">
        <v>1</v>
      </c>
      <c r="W20">
        <v>1</v>
      </c>
      <c r="X20">
        <v>1</v>
      </c>
      <c r="Z20">
        <v>1</v>
      </c>
      <c r="AA20">
        <v>1</v>
      </c>
      <c r="AB20">
        <f t="shared" si="0"/>
        <v>0</v>
      </c>
      <c r="AC20">
        <f t="shared" si="5"/>
        <v>1</v>
      </c>
      <c r="AD20" t="str">
        <f t="shared" si="1"/>
        <v>DBLP:journals/corr/abs-2104-02310</v>
      </c>
      <c r="AE20" t="str">
        <f t="shared" si="2"/>
        <v/>
      </c>
      <c r="AF20" t="str">
        <f t="shared" si="3"/>
        <v>DBLP:journals/corr/abs-2104-02310</v>
      </c>
      <c r="AG20" t="str">
        <f t="shared" si="4"/>
        <v/>
      </c>
      <c r="AH20">
        <f t="shared" si="8"/>
        <v>0</v>
      </c>
    </row>
    <row r="21" spans="1:34">
      <c r="A21">
        <v>20</v>
      </c>
      <c r="B21" s="1" t="s">
        <v>33</v>
      </c>
      <c r="C21" t="s">
        <v>142</v>
      </c>
      <c r="D21" t="s">
        <v>239</v>
      </c>
      <c r="E21" t="s">
        <v>114</v>
      </c>
      <c r="F21" s="4">
        <v>2021</v>
      </c>
      <c r="G21">
        <v>1</v>
      </c>
      <c r="J21" s="4"/>
      <c r="K21" s="4"/>
      <c r="L21" s="4"/>
      <c r="N21">
        <v>1</v>
      </c>
      <c r="P21">
        <v>1</v>
      </c>
      <c r="R21" s="4"/>
      <c r="S21">
        <v>1</v>
      </c>
      <c r="Z21">
        <v>1</v>
      </c>
      <c r="AA21">
        <v>1</v>
      </c>
      <c r="AB21">
        <f t="shared" si="0"/>
        <v>0</v>
      </c>
      <c r="AC21">
        <f t="shared" si="5"/>
        <v>1</v>
      </c>
      <c r="AD21" t="str">
        <f t="shared" si="1"/>
        <v>DBLP:conf/emnlp/HonovichCANSA21</v>
      </c>
      <c r="AE21" t="str">
        <f t="shared" si="2"/>
        <v/>
      </c>
      <c r="AF21" t="str">
        <f t="shared" si="3"/>
        <v/>
      </c>
      <c r="AG21" t="str">
        <f t="shared" si="4"/>
        <v/>
      </c>
      <c r="AH21">
        <f t="shared" si="8"/>
        <v>0</v>
      </c>
    </row>
    <row r="22" spans="1:34">
      <c r="A22">
        <v>21</v>
      </c>
      <c r="B22" s="2" t="s">
        <v>32</v>
      </c>
      <c r="C22" t="s">
        <v>95</v>
      </c>
      <c r="D22" t="s">
        <v>215</v>
      </c>
      <c r="E22" t="s">
        <v>96</v>
      </c>
      <c r="F22">
        <v>2022</v>
      </c>
      <c r="G22">
        <v>1</v>
      </c>
      <c r="R22" s="4"/>
      <c r="S22">
        <v>1</v>
      </c>
      <c r="U22">
        <v>1</v>
      </c>
      <c r="Z22">
        <v>1</v>
      </c>
      <c r="AA22">
        <v>1</v>
      </c>
      <c r="AB22">
        <f t="shared" si="0"/>
        <v>0</v>
      </c>
      <c r="AC22">
        <f t="shared" si="5"/>
        <v>1</v>
      </c>
      <c r="AD22" t="str">
        <f t="shared" si="1"/>
        <v>DBLP:journals/corr/abs-2106-00745</v>
      </c>
      <c r="AE22" t="str">
        <f t="shared" si="2"/>
        <v/>
      </c>
      <c r="AF22" t="str">
        <f t="shared" si="3"/>
        <v/>
      </c>
      <c r="AG22" t="str">
        <f t="shared" si="4"/>
        <v/>
      </c>
      <c r="AH22">
        <f t="shared" si="8"/>
        <v>0</v>
      </c>
    </row>
    <row r="23" spans="1:34">
      <c r="A23">
        <v>22</v>
      </c>
      <c r="B23" s="2" t="s">
        <v>32</v>
      </c>
      <c r="C23" t="s">
        <v>93</v>
      </c>
      <c r="D23" t="s">
        <v>214</v>
      </c>
      <c r="E23" t="s">
        <v>94</v>
      </c>
      <c r="F23">
        <v>2022</v>
      </c>
      <c r="G23">
        <v>1</v>
      </c>
      <c r="N23">
        <v>1</v>
      </c>
      <c r="Q23">
        <v>1</v>
      </c>
      <c r="R23" s="4"/>
      <c r="V23">
        <v>1</v>
      </c>
      <c r="Z23">
        <v>1</v>
      </c>
      <c r="AA23">
        <v>1</v>
      </c>
      <c r="AB23">
        <f t="shared" si="0"/>
        <v>0</v>
      </c>
      <c r="AC23">
        <f t="shared" si="5"/>
        <v>0</v>
      </c>
      <c r="AD23" t="str">
        <f t="shared" si="1"/>
        <v/>
      </c>
      <c r="AE23" t="str">
        <f t="shared" si="2"/>
        <v>DBLP:journals/corr/abs-2108-10763</v>
      </c>
      <c r="AF23" t="str">
        <f t="shared" si="3"/>
        <v/>
      </c>
      <c r="AG23" t="str">
        <f t="shared" si="4"/>
        <v/>
      </c>
      <c r="AH23">
        <f t="shared" si="8"/>
        <v>0</v>
      </c>
    </row>
    <row r="24" spans="1:34">
      <c r="A24">
        <v>23</v>
      </c>
      <c r="B24" s="2" t="s">
        <v>31</v>
      </c>
      <c r="C24" t="s">
        <v>91</v>
      </c>
      <c r="D24" t="s">
        <v>254</v>
      </c>
      <c r="E24" t="s">
        <v>92</v>
      </c>
      <c r="F24">
        <v>2022</v>
      </c>
      <c r="G24">
        <v>1</v>
      </c>
      <c r="J24">
        <v>1</v>
      </c>
      <c r="O24">
        <v>1</v>
      </c>
      <c r="P24">
        <v>1</v>
      </c>
      <c r="R24" s="4">
        <v>1</v>
      </c>
      <c r="V24">
        <v>1</v>
      </c>
      <c r="W24">
        <v>1</v>
      </c>
      <c r="X24">
        <v>1</v>
      </c>
      <c r="Y24">
        <v>1</v>
      </c>
      <c r="Z24">
        <v>1</v>
      </c>
      <c r="AA24">
        <v>1</v>
      </c>
      <c r="AB24">
        <f t="shared" si="0"/>
        <v>0</v>
      </c>
      <c r="AC24">
        <f t="shared" si="5"/>
        <v>1</v>
      </c>
      <c r="AD24" t="str">
        <f t="shared" si="1"/>
        <v>Choshen2022FusingFM</v>
      </c>
      <c r="AE24" t="str">
        <f t="shared" si="2"/>
        <v>Choshen2022FusingFM</v>
      </c>
      <c r="AF24" t="str">
        <f t="shared" si="3"/>
        <v>Choshen2022FusingFM</v>
      </c>
      <c r="AG24" t="str">
        <f t="shared" si="4"/>
        <v/>
      </c>
    </row>
    <row r="25" spans="1:34">
      <c r="A25">
        <v>24</v>
      </c>
      <c r="B25" s="1" t="s">
        <v>30</v>
      </c>
      <c r="C25" t="s">
        <v>141</v>
      </c>
      <c r="D25" t="s">
        <v>238</v>
      </c>
      <c r="E25" t="s">
        <v>113</v>
      </c>
      <c r="F25">
        <v>2022</v>
      </c>
      <c r="G25">
        <v>1</v>
      </c>
      <c r="N25">
        <v>1</v>
      </c>
      <c r="O25">
        <v>1</v>
      </c>
      <c r="P25">
        <v>1</v>
      </c>
      <c r="R25" s="4"/>
      <c r="S25">
        <v>1</v>
      </c>
      <c r="V25">
        <v>1</v>
      </c>
      <c r="X25">
        <v>1</v>
      </c>
      <c r="Y25">
        <v>1</v>
      </c>
      <c r="Z25">
        <v>1</v>
      </c>
      <c r="AA25">
        <v>1</v>
      </c>
      <c r="AB25">
        <f t="shared" si="0"/>
        <v>0</v>
      </c>
      <c r="AC25">
        <f t="shared" si="5"/>
        <v>1</v>
      </c>
      <c r="AD25" t="str">
        <f t="shared" si="1"/>
        <v>DBLP:conf/lrec/Lertvittayakumjorn22</v>
      </c>
      <c r="AE25" t="str">
        <f t="shared" si="2"/>
        <v>DBLP:conf/lrec/Lertvittayakumjorn22</v>
      </c>
      <c r="AF25" t="str">
        <f t="shared" si="3"/>
        <v>DBLP:conf/lrec/Lertvittayakumjorn22</v>
      </c>
      <c r="AG25" t="str">
        <f t="shared" si="4"/>
        <v/>
      </c>
      <c r="AH25">
        <f t="shared" ref="AH25:AH33" si="9">IF(Y25+S25&gt;1,1,0)</f>
        <v>1</v>
      </c>
    </row>
    <row r="26" spans="1:34">
      <c r="A26">
        <v>25</v>
      </c>
      <c r="B26" s="2" t="s">
        <v>29</v>
      </c>
      <c r="C26" t="s">
        <v>140</v>
      </c>
      <c r="D26" t="s">
        <v>237</v>
      </c>
      <c r="E26" t="s">
        <v>112</v>
      </c>
      <c r="F26">
        <v>2023</v>
      </c>
      <c r="G26">
        <v>1</v>
      </c>
      <c r="O26">
        <v>1</v>
      </c>
      <c r="P26">
        <v>1</v>
      </c>
      <c r="R26" s="4">
        <v>1</v>
      </c>
      <c r="U26">
        <v>1</v>
      </c>
      <c r="Y26">
        <v>1</v>
      </c>
      <c r="Z26">
        <v>1</v>
      </c>
      <c r="AA26">
        <v>1</v>
      </c>
      <c r="AB26">
        <f t="shared" si="0"/>
        <v>0</v>
      </c>
      <c r="AC26">
        <f t="shared" si="5"/>
        <v>1</v>
      </c>
      <c r="AD26" t="str">
        <f t="shared" si="1"/>
        <v>DBLP:conf/starsem/SlobodkinCA22</v>
      </c>
      <c r="AE26" t="str">
        <f t="shared" si="2"/>
        <v/>
      </c>
      <c r="AF26" t="str">
        <f t="shared" si="3"/>
        <v/>
      </c>
      <c r="AG26" t="str">
        <f t="shared" si="4"/>
        <v/>
      </c>
      <c r="AH26">
        <f t="shared" si="9"/>
        <v>0</v>
      </c>
    </row>
    <row r="27" spans="1:34">
      <c r="A27">
        <v>26</v>
      </c>
      <c r="B27" s="1" t="s">
        <v>28</v>
      </c>
      <c r="C27" t="s">
        <v>89</v>
      </c>
      <c r="D27" t="s">
        <v>213</v>
      </c>
      <c r="E27" t="s">
        <v>90</v>
      </c>
      <c r="F27">
        <v>2023</v>
      </c>
      <c r="G27">
        <v>1</v>
      </c>
      <c r="N27">
        <v>1</v>
      </c>
      <c r="O27">
        <v>1</v>
      </c>
      <c r="P27">
        <v>1</v>
      </c>
      <c r="Q27">
        <v>1</v>
      </c>
      <c r="R27" s="4"/>
      <c r="S27">
        <v>1</v>
      </c>
      <c r="U27">
        <v>1</v>
      </c>
      <c r="V27">
        <v>1</v>
      </c>
      <c r="W27">
        <v>1</v>
      </c>
      <c r="Z27">
        <v>1</v>
      </c>
      <c r="AA27">
        <v>1</v>
      </c>
      <c r="AB27">
        <f t="shared" si="0"/>
        <v>0</v>
      </c>
      <c r="AC27">
        <f t="shared" si="5"/>
        <v>1</v>
      </c>
      <c r="AD27" t="str">
        <f t="shared" si="1"/>
        <v>DBLP:journals/corr/abs-2205-05730</v>
      </c>
      <c r="AE27" t="str">
        <f t="shared" si="2"/>
        <v>DBLP:journals/corr/abs-2205-05730</v>
      </c>
      <c r="AF27" t="str">
        <f t="shared" si="3"/>
        <v/>
      </c>
      <c r="AG27" t="str">
        <f t="shared" si="4"/>
        <v/>
      </c>
      <c r="AH27">
        <f t="shared" si="9"/>
        <v>0</v>
      </c>
    </row>
    <row r="28" spans="1:34">
      <c r="A28">
        <v>27</v>
      </c>
      <c r="B28" s="1" t="s">
        <v>27</v>
      </c>
      <c r="C28" t="s">
        <v>87</v>
      </c>
      <c r="D28" t="s">
        <v>236</v>
      </c>
      <c r="E28" t="s">
        <v>88</v>
      </c>
      <c r="F28">
        <v>2023</v>
      </c>
      <c r="G28">
        <v>1</v>
      </c>
      <c r="P28">
        <v>1</v>
      </c>
      <c r="R28" s="4">
        <v>1</v>
      </c>
      <c r="Y28">
        <v>1</v>
      </c>
      <c r="Z28">
        <v>1</v>
      </c>
      <c r="AA28">
        <v>1</v>
      </c>
      <c r="AB28">
        <f t="shared" si="0"/>
        <v>1</v>
      </c>
      <c r="AC28">
        <f t="shared" si="5"/>
        <v>0</v>
      </c>
      <c r="AD28" t="str">
        <f t="shared" si="1"/>
        <v/>
      </c>
      <c r="AE28" t="str">
        <f t="shared" si="2"/>
        <v/>
      </c>
      <c r="AF28" t="str">
        <f t="shared" si="3"/>
        <v/>
      </c>
      <c r="AG28" t="str">
        <f t="shared" si="4"/>
        <v>DBLP:conf/acl/ShnarchGHDCAS22</v>
      </c>
      <c r="AH28">
        <f t="shared" si="9"/>
        <v>0</v>
      </c>
    </row>
    <row r="29" spans="1:34">
      <c r="A29">
        <v>28</v>
      </c>
      <c r="B29" s="1" t="s">
        <v>26</v>
      </c>
      <c r="C29" t="s">
        <v>139</v>
      </c>
      <c r="D29" t="s">
        <v>235</v>
      </c>
      <c r="E29" t="s">
        <v>111</v>
      </c>
      <c r="F29">
        <v>2023</v>
      </c>
      <c r="G29">
        <v>1</v>
      </c>
      <c r="O29">
        <v>1</v>
      </c>
      <c r="R29" s="4"/>
      <c r="U29">
        <v>1</v>
      </c>
      <c r="Z29">
        <v>1</v>
      </c>
      <c r="AA29">
        <v>1</v>
      </c>
      <c r="AB29">
        <f t="shared" si="0"/>
        <v>0</v>
      </c>
      <c r="AC29">
        <f t="shared" si="5"/>
        <v>1</v>
      </c>
      <c r="AD29" t="str">
        <f t="shared" si="1"/>
        <v>DBLP:conf/acl/ChoshenHWA22</v>
      </c>
      <c r="AE29" t="str">
        <f t="shared" si="2"/>
        <v/>
      </c>
      <c r="AF29" t="str">
        <f t="shared" si="3"/>
        <v/>
      </c>
      <c r="AG29" t="str">
        <f t="shared" si="4"/>
        <v/>
      </c>
      <c r="AH29">
        <f t="shared" si="9"/>
        <v>0</v>
      </c>
    </row>
    <row r="30" spans="1:34">
      <c r="A30">
        <v>29</v>
      </c>
      <c r="B30" s="1" t="s">
        <v>22</v>
      </c>
      <c r="C30" t="s">
        <v>86</v>
      </c>
      <c r="D30" t="s">
        <v>234</v>
      </c>
      <c r="E30" t="s">
        <v>135</v>
      </c>
      <c r="F30">
        <v>2023</v>
      </c>
      <c r="G30">
        <v>1</v>
      </c>
      <c r="N30">
        <v>1</v>
      </c>
      <c r="P30">
        <v>1</v>
      </c>
      <c r="R30" s="4">
        <v>1</v>
      </c>
      <c r="S30">
        <v>1</v>
      </c>
      <c r="V30">
        <v>1</v>
      </c>
      <c r="X30">
        <v>1</v>
      </c>
      <c r="Y30">
        <v>1</v>
      </c>
      <c r="Z30">
        <v>1</v>
      </c>
      <c r="AA30">
        <v>1</v>
      </c>
      <c r="AB30">
        <f t="shared" si="0"/>
        <v>0</v>
      </c>
      <c r="AC30">
        <f t="shared" si="5"/>
        <v>1</v>
      </c>
      <c r="AD30" t="str">
        <f t="shared" si="1"/>
        <v>DBLP:conf/emnlp/ShnarchHGDKCCEZW22</v>
      </c>
      <c r="AE30" t="str">
        <f t="shared" si="2"/>
        <v>DBLP:conf/emnlp/ShnarchHGDKCCEZW22</v>
      </c>
      <c r="AF30" t="str">
        <f t="shared" si="3"/>
        <v>DBLP:conf/emnlp/ShnarchHGDKCCEZW22</v>
      </c>
      <c r="AG30" t="str">
        <f t="shared" si="4"/>
        <v/>
      </c>
      <c r="AH30">
        <f t="shared" si="9"/>
        <v>1</v>
      </c>
    </row>
    <row r="31" spans="1:34">
      <c r="A31">
        <v>30</v>
      </c>
      <c r="B31" s="1" t="s">
        <v>25</v>
      </c>
      <c r="C31" t="s">
        <v>84</v>
      </c>
      <c r="D31" s="4" t="s">
        <v>233</v>
      </c>
      <c r="E31" t="s">
        <v>85</v>
      </c>
      <c r="F31">
        <v>2023</v>
      </c>
      <c r="G31">
        <v>1</v>
      </c>
      <c r="O31">
        <v>1</v>
      </c>
      <c r="P31">
        <v>1</v>
      </c>
      <c r="R31" s="4">
        <v>1</v>
      </c>
      <c r="Z31">
        <v>1</v>
      </c>
      <c r="AA31">
        <v>1</v>
      </c>
      <c r="AB31">
        <f t="shared" si="0"/>
        <v>0</v>
      </c>
      <c r="AC31">
        <f t="shared" si="5"/>
        <v>1</v>
      </c>
      <c r="AD31" t="str">
        <f t="shared" si="1"/>
        <v>DBLP:conf/coling/YehudaiCFA22</v>
      </c>
      <c r="AE31" t="str">
        <f t="shared" si="2"/>
        <v/>
      </c>
      <c r="AF31" t="str">
        <f t="shared" si="3"/>
        <v/>
      </c>
      <c r="AG31" t="str">
        <f t="shared" si="4"/>
        <v/>
      </c>
      <c r="AH31">
        <f t="shared" si="9"/>
        <v>0</v>
      </c>
    </row>
    <row r="32" spans="1:34">
      <c r="A32">
        <v>31</v>
      </c>
      <c r="B32" s="1" t="s">
        <v>24</v>
      </c>
      <c r="C32" t="s">
        <v>82</v>
      </c>
      <c r="D32" s="9" t="s">
        <v>255</v>
      </c>
      <c r="E32" t="s">
        <v>83</v>
      </c>
      <c r="F32">
        <v>2023</v>
      </c>
      <c r="G32">
        <v>1</v>
      </c>
      <c r="N32">
        <v>1</v>
      </c>
      <c r="O32">
        <v>1</v>
      </c>
      <c r="P32">
        <v>1</v>
      </c>
      <c r="R32" s="4">
        <v>1</v>
      </c>
      <c r="U32">
        <v>1</v>
      </c>
      <c r="Y32">
        <v>1</v>
      </c>
      <c r="Z32">
        <v>1</v>
      </c>
      <c r="AA32">
        <v>1</v>
      </c>
      <c r="AB32">
        <f t="shared" si="0"/>
        <v>0</v>
      </c>
      <c r="AC32">
        <f t="shared" si="5"/>
        <v>1</v>
      </c>
      <c r="AD32" t="str">
        <f t="shared" si="1"/>
        <v>DBLP:conf/conll/ChoshenA22</v>
      </c>
      <c r="AE32" t="str">
        <f t="shared" si="2"/>
        <v/>
      </c>
      <c r="AF32" t="str">
        <f t="shared" si="3"/>
        <v/>
      </c>
      <c r="AG32" t="str">
        <f t="shared" si="4"/>
        <v/>
      </c>
      <c r="AH32">
        <f t="shared" si="9"/>
        <v>0</v>
      </c>
    </row>
    <row r="33" spans="1:34">
      <c r="A33">
        <v>32</v>
      </c>
      <c r="B33" s="1" t="s">
        <v>23</v>
      </c>
      <c r="C33" t="s">
        <v>80</v>
      </c>
      <c r="D33" t="s">
        <v>212</v>
      </c>
      <c r="E33" t="s">
        <v>81</v>
      </c>
      <c r="F33">
        <v>2023</v>
      </c>
      <c r="G33">
        <v>1</v>
      </c>
      <c r="O33">
        <v>1</v>
      </c>
      <c r="R33" s="4"/>
      <c r="U33">
        <v>1</v>
      </c>
      <c r="Z33">
        <v>1</v>
      </c>
      <c r="AA33">
        <v>1</v>
      </c>
      <c r="AB33">
        <f t="shared" si="0"/>
        <v>0</v>
      </c>
      <c r="AC33">
        <f t="shared" si="5"/>
        <v>1</v>
      </c>
      <c r="AD33" t="str">
        <f t="shared" si="1"/>
        <v>DBLP:conf/conll/PatelCA22</v>
      </c>
      <c r="AE33" t="str">
        <f t="shared" si="2"/>
        <v/>
      </c>
      <c r="AF33" t="str">
        <f t="shared" si="3"/>
        <v/>
      </c>
      <c r="AG33" t="str">
        <f t="shared" si="4"/>
        <v/>
      </c>
      <c r="AH33">
        <f t="shared" si="9"/>
        <v>0</v>
      </c>
    </row>
    <row r="34" spans="1:34">
      <c r="A34">
        <v>33</v>
      </c>
      <c r="B34" s="1" t="s">
        <v>22</v>
      </c>
      <c r="C34" t="s">
        <v>79</v>
      </c>
      <c r="D34" t="s">
        <v>232</v>
      </c>
      <c r="E34" t="s">
        <v>159</v>
      </c>
      <c r="F34">
        <v>2023</v>
      </c>
      <c r="G34">
        <v>1</v>
      </c>
      <c r="L34">
        <v>1</v>
      </c>
      <c r="O34">
        <v>1</v>
      </c>
      <c r="P34">
        <v>1</v>
      </c>
      <c r="R34" s="4"/>
      <c r="S34">
        <v>1</v>
      </c>
      <c r="Z34">
        <v>1</v>
      </c>
      <c r="AA34">
        <v>1</v>
      </c>
      <c r="AB34">
        <f t="shared" si="0"/>
        <v>0</v>
      </c>
      <c r="AC34">
        <f t="shared" si="5"/>
        <v>1</v>
      </c>
      <c r="AD34" t="str">
        <f t="shared" ref="AD34:AD65" si="10">IF(AC34,D34,"")</f>
        <v>DBLP:conf/emnlp/Don-YehiyaCA22</v>
      </c>
      <c r="AE34" t="str">
        <f t="shared" ref="AE34:AE65" si="11">IF(V34,D34,"")</f>
        <v/>
      </c>
      <c r="AF34" t="str">
        <f t="shared" ref="AF34:AF65" si="12">IF(X34,D34,"")</f>
        <v/>
      </c>
      <c r="AG34" t="str">
        <f t="shared" si="4"/>
        <v/>
      </c>
    </row>
    <row r="35" spans="1:34">
      <c r="A35">
        <v>34</v>
      </c>
      <c r="B35" s="1" t="s">
        <v>21</v>
      </c>
      <c r="C35" t="s">
        <v>77</v>
      </c>
      <c r="D35" t="s">
        <v>231</v>
      </c>
      <c r="E35" t="s">
        <v>78</v>
      </c>
      <c r="F35">
        <v>2023</v>
      </c>
      <c r="G35">
        <v>1</v>
      </c>
      <c r="O35">
        <v>1</v>
      </c>
      <c r="P35">
        <v>1</v>
      </c>
      <c r="R35" s="4">
        <v>1</v>
      </c>
      <c r="Z35">
        <v>1</v>
      </c>
      <c r="AA35">
        <v>1</v>
      </c>
      <c r="AB35">
        <f t="shared" si="0"/>
        <v>0</v>
      </c>
      <c r="AC35">
        <f t="shared" si="5"/>
        <v>1</v>
      </c>
      <c r="AD35" t="str">
        <f t="shared" si="10"/>
        <v>DBLP:conf/acl/NeemanAHCSA23</v>
      </c>
      <c r="AE35" t="str">
        <f t="shared" si="11"/>
        <v/>
      </c>
      <c r="AF35" t="str">
        <f t="shared" si="12"/>
        <v/>
      </c>
      <c r="AG35" t="str">
        <f t="shared" si="4"/>
        <v/>
      </c>
      <c r="AH35">
        <f>IF(Y35+S35&gt;1,1,0)</f>
        <v>0</v>
      </c>
    </row>
    <row r="36" spans="1:34">
      <c r="A36">
        <v>35</v>
      </c>
      <c r="B36" s="1" t="s">
        <v>20</v>
      </c>
      <c r="C36" t="s">
        <v>76</v>
      </c>
      <c r="D36" t="s">
        <v>230</v>
      </c>
      <c r="E36" t="s">
        <v>161</v>
      </c>
      <c r="F36">
        <v>2023</v>
      </c>
      <c r="G36">
        <v>1</v>
      </c>
      <c r="J36">
        <v>1</v>
      </c>
      <c r="P36">
        <v>1</v>
      </c>
      <c r="R36" s="4">
        <v>1</v>
      </c>
      <c r="V36">
        <v>1</v>
      </c>
      <c r="W36">
        <v>1</v>
      </c>
      <c r="X36">
        <v>1</v>
      </c>
      <c r="Y36">
        <v>1</v>
      </c>
      <c r="Z36">
        <v>1</v>
      </c>
      <c r="AA36">
        <v>1</v>
      </c>
      <c r="AB36">
        <f t="shared" si="0"/>
        <v>0</v>
      </c>
      <c r="AC36">
        <f t="shared" si="5"/>
        <v>0</v>
      </c>
      <c r="AD36" t="str">
        <f t="shared" si="10"/>
        <v/>
      </c>
      <c r="AE36" t="str">
        <f t="shared" si="11"/>
        <v>DBLP:conf/acl/Don-YehiyaVRSC23</v>
      </c>
      <c r="AF36" t="str">
        <f t="shared" si="12"/>
        <v>DBLP:conf/acl/Don-YehiyaVRSC23</v>
      </c>
      <c r="AG36" t="str">
        <f t="shared" si="4"/>
        <v/>
      </c>
    </row>
    <row r="37" spans="1:34">
      <c r="A37">
        <v>36</v>
      </c>
      <c r="B37" s="1" t="s">
        <v>285</v>
      </c>
      <c r="C37" t="s">
        <v>286</v>
      </c>
      <c r="D37" t="s">
        <v>282</v>
      </c>
      <c r="E37" t="s">
        <v>283</v>
      </c>
      <c r="F37">
        <v>2023</v>
      </c>
      <c r="G37">
        <v>1</v>
      </c>
      <c r="H37">
        <v>1</v>
      </c>
      <c r="N37">
        <v>1</v>
      </c>
      <c r="O37">
        <v>1</v>
      </c>
      <c r="Q37">
        <v>1</v>
      </c>
      <c r="R37" s="4">
        <v>1</v>
      </c>
      <c r="S37">
        <v>1</v>
      </c>
      <c r="T37">
        <v>1</v>
      </c>
      <c r="U37">
        <v>1</v>
      </c>
      <c r="V37">
        <v>1</v>
      </c>
      <c r="W37">
        <v>1</v>
      </c>
      <c r="X37">
        <v>1</v>
      </c>
      <c r="Y37">
        <v>1</v>
      </c>
      <c r="Z37">
        <v>1</v>
      </c>
      <c r="AA37">
        <v>1</v>
      </c>
      <c r="AB37">
        <f t="shared" si="0"/>
        <v>0</v>
      </c>
      <c r="AC37">
        <f t="shared" si="5"/>
        <v>1</v>
      </c>
      <c r="AD37" t="str">
        <f t="shared" si="10"/>
        <v>warstadt2023findings</v>
      </c>
      <c r="AE37" t="str">
        <f t="shared" si="11"/>
        <v>warstadt2023findings</v>
      </c>
      <c r="AF37" t="str">
        <f t="shared" si="12"/>
        <v>warstadt2023findings</v>
      </c>
      <c r="AH37">
        <f>IF(Y37+S37&gt;1,1,0)</f>
        <v>1</v>
      </c>
    </row>
    <row r="38" spans="1:34">
      <c r="A38">
        <v>37</v>
      </c>
      <c r="B38" s="1" t="s">
        <v>17</v>
      </c>
      <c r="C38" t="s">
        <v>75</v>
      </c>
      <c r="D38" t="s">
        <v>229</v>
      </c>
      <c r="E38" t="s">
        <v>160</v>
      </c>
      <c r="F38">
        <v>2023</v>
      </c>
      <c r="G38">
        <v>1</v>
      </c>
      <c r="J38">
        <v>1</v>
      </c>
      <c r="N38">
        <v>1</v>
      </c>
      <c r="O38">
        <v>1</v>
      </c>
      <c r="P38">
        <v>1</v>
      </c>
      <c r="Q38">
        <v>1</v>
      </c>
      <c r="R38" s="4">
        <v>1</v>
      </c>
      <c r="S38">
        <v>1</v>
      </c>
      <c r="V38">
        <v>1</v>
      </c>
      <c r="W38">
        <v>1</v>
      </c>
      <c r="X38">
        <v>1</v>
      </c>
      <c r="Y38">
        <v>1</v>
      </c>
      <c r="Z38">
        <v>1</v>
      </c>
      <c r="AA38">
        <v>1</v>
      </c>
      <c r="AB38">
        <f t="shared" si="0"/>
        <v>0</v>
      </c>
      <c r="AC38">
        <f t="shared" si="5"/>
        <v>1</v>
      </c>
      <c r="AD38" t="str">
        <f t="shared" si="10"/>
        <v>DBLP:conf/emnlp/ChoshenVDSK23</v>
      </c>
      <c r="AE38" t="str">
        <f t="shared" si="11"/>
        <v>DBLP:conf/emnlp/ChoshenVDSK23</v>
      </c>
      <c r="AF38" t="str">
        <f t="shared" si="12"/>
        <v>DBLP:conf/emnlp/ChoshenVDSK23</v>
      </c>
      <c r="AG38" t="str">
        <f t="shared" ref="AG38:AG72" si="13">IF(AB38,D38,"")</f>
        <v/>
      </c>
    </row>
    <row r="39" spans="1:34">
      <c r="A39">
        <v>38</v>
      </c>
      <c r="B39" s="1" t="s">
        <v>17</v>
      </c>
      <c r="C39" t="s">
        <v>110</v>
      </c>
      <c r="D39" t="s">
        <v>228</v>
      </c>
      <c r="E39" t="s">
        <v>109</v>
      </c>
      <c r="F39">
        <v>2023</v>
      </c>
      <c r="G39">
        <v>1</v>
      </c>
      <c r="J39">
        <v>1</v>
      </c>
      <c r="O39">
        <v>1</v>
      </c>
      <c r="R39" s="4"/>
      <c r="Z39">
        <v>1</v>
      </c>
      <c r="AA39">
        <v>1</v>
      </c>
      <c r="AB39">
        <f t="shared" si="0"/>
        <v>0</v>
      </c>
      <c r="AC39">
        <f t="shared" si="5"/>
        <v>1</v>
      </c>
      <c r="AD39" t="str">
        <f t="shared" si="10"/>
        <v>DBLP:conf/emnlp/GuetaVRSKC23</v>
      </c>
      <c r="AE39" t="str">
        <f t="shared" si="11"/>
        <v/>
      </c>
      <c r="AF39" t="str">
        <f t="shared" si="12"/>
        <v/>
      </c>
      <c r="AG39" t="str">
        <f t="shared" si="13"/>
        <v/>
      </c>
    </row>
    <row r="40" spans="1:34">
      <c r="A40">
        <v>39</v>
      </c>
      <c r="B40" s="1" t="s">
        <v>19</v>
      </c>
      <c r="C40" t="s">
        <v>108</v>
      </c>
      <c r="D40" t="s">
        <v>221</v>
      </c>
      <c r="E40" t="s">
        <v>107</v>
      </c>
      <c r="F40">
        <v>2023</v>
      </c>
      <c r="G40">
        <v>1</v>
      </c>
      <c r="O40">
        <v>1</v>
      </c>
      <c r="P40">
        <v>1</v>
      </c>
      <c r="R40" s="4"/>
      <c r="S40">
        <v>1</v>
      </c>
      <c r="U40">
        <v>1</v>
      </c>
      <c r="Z40">
        <v>1</v>
      </c>
      <c r="AA40">
        <v>1</v>
      </c>
      <c r="AB40">
        <f t="shared" si="0"/>
        <v>0</v>
      </c>
      <c r="AC40">
        <f t="shared" si="5"/>
        <v>1</v>
      </c>
      <c r="AD40" t="str">
        <f t="shared" si="10"/>
        <v>DBLP:conf/conll/KaridiCPA23</v>
      </c>
      <c r="AE40" t="str">
        <f t="shared" si="11"/>
        <v/>
      </c>
      <c r="AF40" t="str">
        <f t="shared" si="12"/>
        <v/>
      </c>
      <c r="AG40" t="str">
        <f t="shared" si="13"/>
        <v/>
      </c>
      <c r="AH40">
        <f>IF(Y40+S40&gt;1,1,0)</f>
        <v>0</v>
      </c>
    </row>
    <row r="41" spans="1:34" ht="28">
      <c r="A41">
        <v>40</v>
      </c>
      <c r="B41" s="1" t="s">
        <v>18</v>
      </c>
      <c r="C41" t="s">
        <v>106</v>
      </c>
      <c r="D41" t="s">
        <v>222</v>
      </c>
      <c r="E41" t="s">
        <v>105</v>
      </c>
      <c r="F41">
        <v>2023</v>
      </c>
      <c r="G41">
        <v>1</v>
      </c>
      <c r="J41">
        <v>1</v>
      </c>
      <c r="O41">
        <v>1</v>
      </c>
      <c r="P41">
        <v>1</v>
      </c>
      <c r="Q41" s="6"/>
      <c r="R41" s="4"/>
      <c r="V41">
        <v>1</v>
      </c>
      <c r="X41">
        <v>1</v>
      </c>
      <c r="Y41">
        <v>1</v>
      </c>
      <c r="Z41">
        <v>1</v>
      </c>
      <c r="AA41">
        <v>1</v>
      </c>
      <c r="AB41">
        <f t="shared" ref="AB41:AB79" si="14">IF(SUM(X41,S41,O41,V41),0,1)</f>
        <v>0</v>
      </c>
      <c r="AC41">
        <f t="shared" si="5"/>
        <v>1</v>
      </c>
      <c r="AD41" t="str">
        <f t="shared" si="10"/>
        <v>DBLP:conf/nips/YadavTCRB23</v>
      </c>
      <c r="AE41" t="str">
        <f t="shared" si="11"/>
        <v>DBLP:conf/nips/YadavTCRB23</v>
      </c>
      <c r="AF41" t="str">
        <f t="shared" si="12"/>
        <v>DBLP:conf/nips/YadavTCRB23</v>
      </c>
      <c r="AG41" t="str">
        <f t="shared" si="13"/>
        <v/>
      </c>
    </row>
    <row r="42" spans="1:34">
      <c r="A42">
        <v>41</v>
      </c>
      <c r="B42" s="2" t="s">
        <v>17</v>
      </c>
      <c r="C42" t="s">
        <v>74</v>
      </c>
      <c r="D42" t="s">
        <v>211</v>
      </c>
      <c r="E42" t="s">
        <v>159</v>
      </c>
      <c r="F42">
        <v>2023</v>
      </c>
      <c r="G42">
        <v>1</v>
      </c>
      <c r="L42">
        <v>1</v>
      </c>
      <c r="N42">
        <v>1</v>
      </c>
      <c r="Q42">
        <v>1</v>
      </c>
      <c r="R42" s="4"/>
      <c r="U42">
        <v>1</v>
      </c>
      <c r="V42">
        <v>1</v>
      </c>
      <c r="Z42">
        <v>1</v>
      </c>
      <c r="AA42">
        <v>1</v>
      </c>
      <c r="AB42">
        <f t="shared" si="14"/>
        <v>0</v>
      </c>
      <c r="AC42">
        <f t="shared" si="5"/>
        <v>0</v>
      </c>
      <c r="AD42" t="str">
        <f t="shared" si="10"/>
        <v/>
      </c>
      <c r="AE42" t="str">
        <f t="shared" si="11"/>
        <v>DBLP:conf/emnlp/Don-YehiyaCA23</v>
      </c>
      <c r="AF42" t="str">
        <f t="shared" si="12"/>
        <v/>
      </c>
      <c r="AG42" t="str">
        <f t="shared" si="13"/>
        <v/>
      </c>
    </row>
    <row r="43" spans="1:34">
      <c r="A43">
        <v>42</v>
      </c>
      <c r="B43" s="2" t="s">
        <v>16</v>
      </c>
      <c r="C43" t="s">
        <v>72</v>
      </c>
      <c r="D43" t="s">
        <v>210</v>
      </c>
      <c r="E43" t="s">
        <v>73</v>
      </c>
      <c r="F43">
        <v>2024</v>
      </c>
      <c r="G43">
        <v>1</v>
      </c>
      <c r="N43">
        <v>1</v>
      </c>
      <c r="O43">
        <v>1</v>
      </c>
      <c r="R43" s="4"/>
      <c r="S43">
        <v>1</v>
      </c>
      <c r="T43">
        <v>1</v>
      </c>
      <c r="U43">
        <v>1</v>
      </c>
      <c r="V43">
        <v>1</v>
      </c>
      <c r="W43">
        <v>1</v>
      </c>
      <c r="Z43">
        <v>1</v>
      </c>
      <c r="AA43">
        <v>1</v>
      </c>
      <c r="AB43">
        <f t="shared" si="14"/>
        <v>0</v>
      </c>
      <c r="AC43">
        <f t="shared" si="5"/>
        <v>1</v>
      </c>
      <c r="AD43" t="str">
        <f t="shared" si="10"/>
        <v>DBLP:journals/corr/abs-2407-21530</v>
      </c>
      <c r="AE43" t="str">
        <f t="shared" si="11"/>
        <v>DBLP:journals/corr/abs-2407-21530</v>
      </c>
      <c r="AF43" t="str">
        <f t="shared" si="12"/>
        <v/>
      </c>
      <c r="AG43" t="str">
        <f t="shared" si="13"/>
        <v/>
      </c>
      <c r="AH43">
        <f t="shared" ref="AH43:AH54" si="15">IF(Y43+S43&gt;1,1,0)</f>
        <v>0</v>
      </c>
    </row>
    <row r="44" spans="1:34" ht="18">
      <c r="A44">
        <v>43</v>
      </c>
      <c r="B44" s="1" t="s">
        <v>186</v>
      </c>
      <c r="C44" t="s">
        <v>187</v>
      </c>
      <c r="D44" t="s">
        <v>209</v>
      </c>
      <c r="E44" t="s">
        <v>188</v>
      </c>
      <c r="F44">
        <v>2024</v>
      </c>
      <c r="G44">
        <v>1</v>
      </c>
      <c r="O44">
        <v>1</v>
      </c>
      <c r="P44">
        <v>1</v>
      </c>
      <c r="R44" s="4"/>
      <c r="Y44">
        <v>1</v>
      </c>
      <c r="Z44">
        <v>1</v>
      </c>
      <c r="AA44">
        <v>1</v>
      </c>
      <c r="AB44">
        <f t="shared" si="14"/>
        <v>0</v>
      </c>
      <c r="AC44">
        <f t="shared" si="5"/>
        <v>1</v>
      </c>
      <c r="AD44" t="str">
        <f t="shared" si="10"/>
        <v>DBLP:conf/coling/DinKCG24</v>
      </c>
      <c r="AE44" t="str">
        <f t="shared" si="11"/>
        <v/>
      </c>
      <c r="AF44" t="str">
        <f t="shared" si="12"/>
        <v/>
      </c>
      <c r="AG44" t="str">
        <f t="shared" si="13"/>
        <v/>
      </c>
      <c r="AH44">
        <f t="shared" si="15"/>
        <v>0</v>
      </c>
    </row>
    <row r="45" spans="1:34">
      <c r="A45">
        <v>44</v>
      </c>
      <c r="B45" s="1" t="s">
        <v>186</v>
      </c>
      <c r="C45" t="s">
        <v>293</v>
      </c>
      <c r="D45" t="s">
        <v>292</v>
      </c>
      <c r="E45" t="s">
        <v>294</v>
      </c>
      <c r="F45">
        <v>2024</v>
      </c>
      <c r="G45">
        <v>1</v>
      </c>
      <c r="R45" s="4"/>
      <c r="S45">
        <v>1</v>
      </c>
      <c r="T45">
        <v>1</v>
      </c>
      <c r="V45">
        <v>1</v>
      </c>
      <c r="W45">
        <v>1</v>
      </c>
      <c r="X45">
        <v>1</v>
      </c>
      <c r="Y45">
        <v>1</v>
      </c>
      <c r="AA45">
        <v>1</v>
      </c>
      <c r="AB45">
        <f t="shared" si="14"/>
        <v>0</v>
      </c>
      <c r="AC45">
        <f t="shared" si="5"/>
        <v>1</v>
      </c>
      <c r="AD45" t="str">
        <f t="shared" si="10"/>
        <v>choshen2024navigating</v>
      </c>
      <c r="AE45" t="str">
        <f t="shared" si="11"/>
        <v>choshen2024navigating</v>
      </c>
      <c r="AF45" t="str">
        <f t="shared" si="12"/>
        <v>choshen2024navigating</v>
      </c>
      <c r="AG45" t="str">
        <f t="shared" si="13"/>
        <v/>
      </c>
      <c r="AH45">
        <f t="shared" si="15"/>
        <v>1</v>
      </c>
    </row>
    <row r="46" spans="1:34">
      <c r="A46">
        <v>45</v>
      </c>
      <c r="B46" s="2" t="s">
        <v>15</v>
      </c>
      <c r="C46" t="s">
        <v>71</v>
      </c>
      <c r="D46" s="9" t="s">
        <v>256</v>
      </c>
      <c r="E46" t="s">
        <v>158</v>
      </c>
      <c r="F46">
        <v>2024</v>
      </c>
      <c r="G46">
        <v>1</v>
      </c>
      <c r="R46" s="4"/>
      <c r="S46">
        <v>1</v>
      </c>
      <c r="W46">
        <v>1</v>
      </c>
      <c r="X46">
        <v>1</v>
      </c>
      <c r="Y46">
        <v>1</v>
      </c>
      <c r="Z46">
        <v>1</v>
      </c>
      <c r="AA46">
        <v>1</v>
      </c>
      <c r="AB46">
        <f t="shared" si="14"/>
        <v>0</v>
      </c>
      <c r="AC46">
        <f t="shared" si="5"/>
        <v>1</v>
      </c>
      <c r="AD46" t="str">
        <f t="shared" si="10"/>
        <v>DBLP:conf/naacl/PerlitzBGAESSSC24</v>
      </c>
      <c r="AE46" t="str">
        <f t="shared" si="11"/>
        <v/>
      </c>
      <c r="AF46" t="str">
        <f t="shared" si="12"/>
        <v>DBLP:conf/naacl/PerlitzBGAESSSC24</v>
      </c>
      <c r="AG46" t="str">
        <f t="shared" si="13"/>
        <v/>
      </c>
      <c r="AH46">
        <f t="shared" si="15"/>
        <v>1</v>
      </c>
    </row>
    <row r="47" spans="1:34">
      <c r="A47">
        <v>46</v>
      </c>
      <c r="B47" s="1" t="s">
        <v>14</v>
      </c>
      <c r="C47" t="s">
        <v>69</v>
      </c>
      <c r="D47" t="s">
        <v>227</v>
      </c>
      <c r="E47" t="s">
        <v>70</v>
      </c>
      <c r="F47">
        <v>2024</v>
      </c>
      <c r="G47">
        <v>1</v>
      </c>
      <c r="O47">
        <v>1</v>
      </c>
      <c r="P47">
        <v>1</v>
      </c>
      <c r="R47" s="4">
        <v>1</v>
      </c>
      <c r="Z47">
        <v>1</v>
      </c>
      <c r="AA47">
        <v>1</v>
      </c>
      <c r="AB47">
        <f t="shared" si="14"/>
        <v>0</v>
      </c>
      <c r="AC47">
        <f t="shared" si="5"/>
        <v>1</v>
      </c>
      <c r="AD47" t="str">
        <f t="shared" si="10"/>
        <v>DBLP:conf/acl/AkyurekACWA24</v>
      </c>
      <c r="AE47" t="str">
        <f t="shared" si="11"/>
        <v/>
      </c>
      <c r="AF47" t="str">
        <f t="shared" si="12"/>
        <v/>
      </c>
      <c r="AG47" t="str">
        <f t="shared" si="13"/>
        <v/>
      </c>
      <c r="AH47">
        <f t="shared" si="15"/>
        <v>0</v>
      </c>
    </row>
    <row r="48" spans="1:34">
      <c r="A48">
        <v>47</v>
      </c>
      <c r="B48" s="1" t="s">
        <v>13</v>
      </c>
      <c r="C48" t="s">
        <v>284</v>
      </c>
      <c r="D48" t="s">
        <v>257</v>
      </c>
      <c r="E48" t="s">
        <v>283</v>
      </c>
      <c r="F48">
        <v>2024</v>
      </c>
      <c r="G48">
        <v>1</v>
      </c>
      <c r="M48">
        <v>1</v>
      </c>
      <c r="N48">
        <v>1</v>
      </c>
      <c r="O48">
        <v>1</v>
      </c>
      <c r="Q48">
        <v>1</v>
      </c>
      <c r="R48" s="4">
        <v>1</v>
      </c>
      <c r="S48">
        <v>1</v>
      </c>
      <c r="T48">
        <v>1</v>
      </c>
      <c r="U48">
        <v>1</v>
      </c>
      <c r="V48">
        <v>1</v>
      </c>
      <c r="W48">
        <v>1</v>
      </c>
      <c r="X48">
        <v>1</v>
      </c>
      <c r="Y48">
        <v>1</v>
      </c>
      <c r="Z48">
        <v>1</v>
      </c>
      <c r="AA48">
        <v>1</v>
      </c>
      <c r="AB48">
        <f t="shared" si="14"/>
        <v>0</v>
      </c>
      <c r="AC48">
        <f t="shared" si="5"/>
        <v>1</v>
      </c>
      <c r="AD48" t="str">
        <f t="shared" si="10"/>
        <v>warstadt2024insights</v>
      </c>
      <c r="AE48" t="str">
        <f t="shared" si="11"/>
        <v>warstadt2024insights</v>
      </c>
      <c r="AF48" t="str">
        <f t="shared" si="12"/>
        <v>warstadt2024insights</v>
      </c>
      <c r="AG48" t="str">
        <f t="shared" si="13"/>
        <v/>
      </c>
      <c r="AH48">
        <f t="shared" si="15"/>
        <v>1</v>
      </c>
    </row>
    <row r="49" spans="1:34">
      <c r="A49">
        <v>48</v>
      </c>
      <c r="B49" s="1" t="s">
        <v>12</v>
      </c>
      <c r="C49" t="s">
        <v>185</v>
      </c>
      <c r="D49" t="s">
        <v>226</v>
      </c>
      <c r="E49" t="s">
        <v>184</v>
      </c>
      <c r="F49">
        <v>2024</v>
      </c>
      <c r="G49">
        <v>1</v>
      </c>
      <c r="P49">
        <v>1</v>
      </c>
      <c r="Q49">
        <v>1</v>
      </c>
      <c r="R49" s="4">
        <v>1</v>
      </c>
      <c r="X49">
        <v>1</v>
      </c>
      <c r="Y49">
        <v>1</v>
      </c>
      <c r="Z49">
        <v>1</v>
      </c>
      <c r="AA49">
        <v>1</v>
      </c>
      <c r="AB49">
        <f t="shared" si="14"/>
        <v>0</v>
      </c>
      <c r="AC49">
        <f t="shared" si="5"/>
        <v>0</v>
      </c>
      <c r="AD49" t="str">
        <f t="shared" si="10"/>
        <v/>
      </c>
      <c r="AE49" t="str">
        <f t="shared" si="11"/>
        <v/>
      </c>
      <c r="AF49" t="str">
        <f t="shared" si="12"/>
        <v>DBLP:conf/iclr/YehudaiCMAMSC24</v>
      </c>
      <c r="AG49" t="str">
        <f t="shared" si="13"/>
        <v/>
      </c>
      <c r="AH49">
        <f t="shared" si="15"/>
        <v>0</v>
      </c>
    </row>
    <row r="50" spans="1:34">
      <c r="A50">
        <v>49</v>
      </c>
      <c r="B50" s="2" t="s">
        <v>11</v>
      </c>
      <c r="C50" t="s">
        <v>183</v>
      </c>
      <c r="D50" t="s">
        <v>225</v>
      </c>
      <c r="E50" t="s">
        <v>182</v>
      </c>
      <c r="F50">
        <v>2024</v>
      </c>
      <c r="G50">
        <v>1</v>
      </c>
      <c r="O50">
        <v>1</v>
      </c>
      <c r="P50">
        <v>1</v>
      </c>
      <c r="R50" s="4">
        <v>1</v>
      </c>
      <c r="Y50">
        <v>1</v>
      </c>
      <c r="Z50">
        <v>1</v>
      </c>
      <c r="AA50">
        <v>1</v>
      </c>
      <c r="AB50">
        <f t="shared" si="14"/>
        <v>0</v>
      </c>
      <c r="AC50">
        <f t="shared" si="5"/>
        <v>1</v>
      </c>
      <c r="AD50" t="str">
        <f t="shared" si="10"/>
        <v>DBLP:conf/icml/ZhuGNBGCGY024</v>
      </c>
      <c r="AE50" t="str">
        <f t="shared" si="11"/>
        <v/>
      </c>
      <c r="AF50" t="str">
        <f t="shared" si="12"/>
        <v/>
      </c>
      <c r="AG50" t="str">
        <f t="shared" si="13"/>
        <v/>
      </c>
      <c r="AH50">
        <f t="shared" si="15"/>
        <v>0</v>
      </c>
    </row>
    <row r="51" spans="1:34">
      <c r="A51">
        <v>50</v>
      </c>
      <c r="B51" s="2" t="s">
        <v>11</v>
      </c>
      <c r="C51" t="s">
        <v>67</v>
      </c>
      <c r="D51" t="s">
        <v>224</v>
      </c>
      <c r="E51" t="s">
        <v>68</v>
      </c>
      <c r="F51">
        <v>2024</v>
      </c>
      <c r="G51">
        <v>1</v>
      </c>
      <c r="N51">
        <v>1</v>
      </c>
      <c r="P51">
        <v>1</v>
      </c>
      <c r="R51" s="4"/>
      <c r="S51">
        <v>1</v>
      </c>
      <c r="V51">
        <v>1</v>
      </c>
      <c r="X51">
        <v>1</v>
      </c>
      <c r="Y51">
        <v>1</v>
      </c>
      <c r="Z51">
        <v>1</v>
      </c>
      <c r="AA51">
        <v>1</v>
      </c>
      <c r="AB51">
        <f t="shared" si="14"/>
        <v>0</v>
      </c>
      <c r="AC51">
        <f t="shared" si="5"/>
        <v>1</v>
      </c>
      <c r="AD51" t="str">
        <f t="shared" si="10"/>
        <v>DBLP:conf/icml/PoloWCSXY24</v>
      </c>
      <c r="AE51" t="str">
        <f t="shared" si="11"/>
        <v>DBLP:conf/icml/PoloWCSXY24</v>
      </c>
      <c r="AF51" t="str">
        <f t="shared" si="12"/>
        <v>DBLP:conf/icml/PoloWCSXY24</v>
      </c>
      <c r="AG51" t="str">
        <f t="shared" si="13"/>
        <v/>
      </c>
      <c r="AH51">
        <f t="shared" si="15"/>
        <v>1</v>
      </c>
    </row>
    <row r="52" spans="1:34">
      <c r="A52">
        <v>51</v>
      </c>
      <c r="B52" s="2" t="s">
        <v>10</v>
      </c>
      <c r="C52" t="s">
        <v>65</v>
      </c>
      <c r="D52" t="s">
        <v>208</v>
      </c>
      <c r="E52" t="s">
        <v>66</v>
      </c>
      <c r="F52">
        <v>2024</v>
      </c>
      <c r="G52">
        <v>1</v>
      </c>
      <c r="N52">
        <v>1</v>
      </c>
      <c r="O52">
        <v>1</v>
      </c>
      <c r="Q52">
        <v>1</v>
      </c>
      <c r="R52" s="4"/>
      <c r="S52">
        <v>1</v>
      </c>
      <c r="U52">
        <v>1</v>
      </c>
      <c r="V52">
        <v>1</v>
      </c>
      <c r="W52">
        <v>1</v>
      </c>
      <c r="X52">
        <v>1</v>
      </c>
      <c r="Z52">
        <v>1</v>
      </c>
      <c r="AA52">
        <v>1</v>
      </c>
      <c r="AB52">
        <f t="shared" si="14"/>
        <v>0</v>
      </c>
      <c r="AC52">
        <f t="shared" si="5"/>
        <v>1</v>
      </c>
      <c r="AD52" t="str">
        <f t="shared" si="10"/>
        <v>DBLP:journals/corr/abs-2404-18923</v>
      </c>
      <c r="AE52" t="str">
        <f t="shared" si="11"/>
        <v>DBLP:journals/corr/abs-2404-18923</v>
      </c>
      <c r="AF52" t="str">
        <f t="shared" si="12"/>
        <v>DBLP:journals/corr/abs-2404-18923</v>
      </c>
      <c r="AG52" t="str">
        <f t="shared" si="13"/>
        <v/>
      </c>
      <c r="AH52">
        <f t="shared" si="15"/>
        <v>0</v>
      </c>
    </row>
    <row r="53" spans="1:34">
      <c r="A53">
        <v>52</v>
      </c>
      <c r="B53" s="2" t="s">
        <v>9</v>
      </c>
      <c r="C53" t="s">
        <v>64</v>
      </c>
      <c r="D53" t="s">
        <v>281</v>
      </c>
      <c r="E53" t="s">
        <v>157</v>
      </c>
      <c r="F53">
        <v>2024</v>
      </c>
      <c r="G53">
        <v>1</v>
      </c>
      <c r="N53">
        <v>1</v>
      </c>
      <c r="Q53">
        <v>1</v>
      </c>
      <c r="R53" s="4"/>
      <c r="S53">
        <v>1</v>
      </c>
      <c r="T53">
        <v>1</v>
      </c>
      <c r="V53">
        <v>1</v>
      </c>
      <c r="X53">
        <v>1</v>
      </c>
      <c r="Z53">
        <v>1</v>
      </c>
      <c r="AA53">
        <v>1</v>
      </c>
      <c r="AB53">
        <f t="shared" si="14"/>
        <v>0</v>
      </c>
      <c r="AC53">
        <f t="shared" si="5"/>
        <v>1</v>
      </c>
      <c r="AD53" t="str">
        <f t="shared" si="10"/>
        <v>bandel2024unitxt</v>
      </c>
      <c r="AE53" t="str">
        <f t="shared" si="11"/>
        <v>bandel2024unitxt</v>
      </c>
      <c r="AF53" t="str">
        <f t="shared" si="12"/>
        <v>bandel2024unitxt</v>
      </c>
      <c r="AG53" t="str">
        <f t="shared" si="13"/>
        <v/>
      </c>
      <c r="AH53">
        <f t="shared" si="15"/>
        <v>0</v>
      </c>
    </row>
    <row r="54" spans="1:34">
      <c r="A54">
        <v>53</v>
      </c>
      <c r="B54" s="2" t="s">
        <v>8</v>
      </c>
      <c r="C54" t="s">
        <v>104</v>
      </c>
      <c r="D54" t="s">
        <v>223</v>
      </c>
      <c r="E54" t="s">
        <v>103</v>
      </c>
      <c r="F54">
        <v>2024</v>
      </c>
      <c r="G54">
        <v>1</v>
      </c>
      <c r="P54">
        <v>1</v>
      </c>
      <c r="R54" s="4"/>
      <c r="S54">
        <v>1</v>
      </c>
      <c r="V54">
        <v>1</v>
      </c>
      <c r="W54">
        <v>1</v>
      </c>
      <c r="X54">
        <v>1</v>
      </c>
      <c r="Y54">
        <v>1</v>
      </c>
      <c r="Z54">
        <v>1</v>
      </c>
      <c r="AA54">
        <v>1</v>
      </c>
      <c r="AB54">
        <f t="shared" si="14"/>
        <v>0</v>
      </c>
      <c r="AC54">
        <f t="shared" si="5"/>
        <v>1</v>
      </c>
      <c r="AD54" t="str">
        <f t="shared" si="10"/>
        <v>DBLP:conf/acl/Ashury-TahanGSC24</v>
      </c>
      <c r="AE54" t="str">
        <f t="shared" si="11"/>
        <v>DBLP:conf/acl/Ashury-TahanGSC24</v>
      </c>
      <c r="AF54" t="str">
        <f t="shared" si="12"/>
        <v>DBLP:conf/acl/Ashury-TahanGSC24</v>
      </c>
      <c r="AG54" t="str">
        <f t="shared" si="13"/>
        <v/>
      </c>
      <c r="AH54">
        <f t="shared" si="15"/>
        <v>1</v>
      </c>
    </row>
    <row r="55" spans="1:34">
      <c r="A55">
        <v>54</v>
      </c>
      <c r="B55" s="2" t="s">
        <v>7</v>
      </c>
      <c r="C55" t="s">
        <v>62</v>
      </c>
      <c r="D55" t="s">
        <v>258</v>
      </c>
      <c r="E55" t="s">
        <v>63</v>
      </c>
      <c r="F55">
        <v>2024</v>
      </c>
      <c r="G55">
        <v>1</v>
      </c>
      <c r="J55">
        <v>1</v>
      </c>
      <c r="R55" s="4"/>
      <c r="V55">
        <v>1</v>
      </c>
      <c r="W55">
        <v>1</v>
      </c>
      <c r="X55">
        <v>1</v>
      </c>
      <c r="Y55">
        <v>1</v>
      </c>
      <c r="Z55">
        <v>1</v>
      </c>
      <c r="AA55">
        <v>1</v>
      </c>
      <c r="AB55">
        <f t="shared" si="14"/>
        <v>0</v>
      </c>
      <c r="AC55">
        <f t="shared" si="5"/>
        <v>0</v>
      </c>
      <c r="AD55" t="str">
        <f t="shared" si="10"/>
        <v/>
      </c>
      <c r="AE55" t="str">
        <f t="shared" si="11"/>
        <v>yadav2024survey</v>
      </c>
      <c r="AF55" t="str">
        <f t="shared" si="12"/>
        <v>yadav2024survey</v>
      </c>
      <c r="AG55" t="str">
        <f t="shared" si="13"/>
        <v/>
      </c>
    </row>
    <row r="56" spans="1:34">
      <c r="A56">
        <v>55</v>
      </c>
      <c r="B56" s="2" t="s">
        <v>4</v>
      </c>
      <c r="C56" t="s">
        <v>54</v>
      </c>
      <c r="D56" t="s">
        <v>207</v>
      </c>
      <c r="E56" t="s">
        <v>6</v>
      </c>
      <c r="F56">
        <v>2024</v>
      </c>
      <c r="G56">
        <v>1</v>
      </c>
      <c r="N56">
        <v>1</v>
      </c>
      <c r="Q56">
        <v>1</v>
      </c>
      <c r="R56" s="4"/>
      <c r="S56">
        <v>1</v>
      </c>
      <c r="U56">
        <v>1</v>
      </c>
      <c r="X56">
        <v>1</v>
      </c>
      <c r="Y56">
        <v>1</v>
      </c>
      <c r="Z56">
        <v>1</v>
      </c>
      <c r="AA56">
        <v>1</v>
      </c>
      <c r="AB56">
        <f t="shared" si="14"/>
        <v>0</v>
      </c>
      <c r="AC56">
        <f t="shared" si="5"/>
        <v>1</v>
      </c>
      <c r="AD56" t="str">
        <f t="shared" si="10"/>
        <v>DBLP:journals/corr/abs-2405-09605</v>
      </c>
      <c r="AE56" t="str">
        <f t="shared" si="11"/>
        <v/>
      </c>
      <c r="AF56" t="str">
        <f t="shared" si="12"/>
        <v>DBLP:journals/corr/abs-2405-09605</v>
      </c>
      <c r="AG56" t="str">
        <f t="shared" si="13"/>
        <v/>
      </c>
      <c r="AH56">
        <f t="shared" ref="AH56:AH61" si="16">IF(Y56+S56&gt;1,1,0)</f>
        <v>1</v>
      </c>
    </row>
    <row r="57" spans="1:34">
      <c r="A57">
        <v>56</v>
      </c>
      <c r="B57" s="2" t="s">
        <v>4</v>
      </c>
      <c r="C57" t="s">
        <v>180</v>
      </c>
      <c r="D57" t="s">
        <v>206</v>
      </c>
      <c r="E57" t="s">
        <v>179</v>
      </c>
      <c r="F57">
        <v>2024</v>
      </c>
      <c r="G57">
        <v>1</v>
      </c>
      <c r="N57">
        <v>1</v>
      </c>
      <c r="P57">
        <v>1</v>
      </c>
      <c r="R57" s="4"/>
      <c r="S57">
        <v>1</v>
      </c>
      <c r="X57">
        <v>1</v>
      </c>
      <c r="Y57">
        <v>1</v>
      </c>
      <c r="Z57">
        <v>1</v>
      </c>
      <c r="AA57">
        <v>1</v>
      </c>
      <c r="AB57">
        <f t="shared" si="14"/>
        <v>0</v>
      </c>
      <c r="AC57">
        <f t="shared" si="5"/>
        <v>1</v>
      </c>
      <c r="AD57" t="str">
        <f t="shared" si="10"/>
        <v>DBLP:journals/corr/abs-2405-17202</v>
      </c>
      <c r="AE57" t="str">
        <f t="shared" si="11"/>
        <v/>
      </c>
      <c r="AF57" t="str">
        <f t="shared" si="12"/>
        <v>DBLP:journals/corr/abs-2405-17202</v>
      </c>
      <c r="AG57" t="str">
        <f t="shared" si="13"/>
        <v/>
      </c>
      <c r="AH57">
        <f t="shared" si="16"/>
        <v>1</v>
      </c>
    </row>
    <row r="58" spans="1:34">
      <c r="A58">
        <v>57</v>
      </c>
      <c r="B58" s="2" t="s">
        <v>4</v>
      </c>
      <c r="C58" t="s">
        <v>60</v>
      </c>
      <c r="D58" t="s">
        <v>205</v>
      </c>
      <c r="E58" t="s">
        <v>61</v>
      </c>
      <c r="F58">
        <v>2024</v>
      </c>
      <c r="G58">
        <v>1</v>
      </c>
      <c r="P58">
        <v>1</v>
      </c>
      <c r="R58" s="4">
        <v>1</v>
      </c>
      <c r="Z58">
        <v>1</v>
      </c>
      <c r="AA58">
        <v>1</v>
      </c>
      <c r="AB58">
        <f t="shared" si="14"/>
        <v>1</v>
      </c>
      <c r="AC58">
        <f t="shared" si="5"/>
        <v>0</v>
      </c>
      <c r="AD58" t="str">
        <f t="shared" si="10"/>
        <v/>
      </c>
      <c r="AE58" t="str">
        <f t="shared" si="11"/>
        <v/>
      </c>
      <c r="AF58" t="str">
        <f t="shared" si="12"/>
        <v/>
      </c>
      <c r="AG58" t="str">
        <f t="shared" si="13"/>
        <v>DBLP:journals/corr/abs-2404-00459</v>
      </c>
      <c r="AH58">
        <f t="shared" si="16"/>
        <v>0</v>
      </c>
    </row>
    <row r="59" spans="1:34">
      <c r="A59">
        <v>58</v>
      </c>
      <c r="B59" s="2" t="s">
        <v>4</v>
      </c>
      <c r="C59" t="s">
        <v>178</v>
      </c>
      <c r="D59" t="s">
        <v>204</v>
      </c>
      <c r="E59" t="s">
        <v>177</v>
      </c>
      <c r="F59">
        <v>2024</v>
      </c>
      <c r="G59">
        <v>1</v>
      </c>
      <c r="N59">
        <v>1</v>
      </c>
      <c r="O59">
        <v>1</v>
      </c>
      <c r="P59">
        <v>1</v>
      </c>
      <c r="R59" s="4"/>
      <c r="Y59">
        <v>1</v>
      </c>
      <c r="Z59">
        <v>1</v>
      </c>
      <c r="AA59">
        <v>1</v>
      </c>
      <c r="AB59">
        <f t="shared" si="14"/>
        <v>0</v>
      </c>
      <c r="AC59">
        <f t="shared" si="5"/>
        <v>1</v>
      </c>
      <c r="AD59" t="str">
        <f t="shared" si="10"/>
        <v>DBLP:journals/corr/abs-2404-15198</v>
      </c>
      <c r="AE59" t="str">
        <f t="shared" si="11"/>
        <v/>
      </c>
      <c r="AF59" t="str">
        <f t="shared" si="12"/>
        <v/>
      </c>
      <c r="AG59" t="str">
        <f t="shared" si="13"/>
        <v/>
      </c>
      <c r="AH59">
        <f t="shared" si="16"/>
        <v>0</v>
      </c>
    </row>
    <row r="60" spans="1:34">
      <c r="A60">
        <v>59</v>
      </c>
      <c r="B60" s="2" t="s">
        <v>4</v>
      </c>
      <c r="C60" t="s">
        <v>176</v>
      </c>
      <c r="D60" t="s">
        <v>259</v>
      </c>
      <c r="E60" t="s">
        <v>175</v>
      </c>
      <c r="F60">
        <v>2024</v>
      </c>
      <c r="G60">
        <v>1</v>
      </c>
      <c r="O60">
        <v>1</v>
      </c>
      <c r="Q60">
        <v>1</v>
      </c>
      <c r="R60" s="4"/>
      <c r="Z60">
        <v>1</v>
      </c>
      <c r="AA60">
        <v>1</v>
      </c>
      <c r="AB60">
        <f t="shared" si="14"/>
        <v>0</v>
      </c>
      <c r="AC60">
        <f t="shared" si="5"/>
        <v>1</v>
      </c>
      <c r="AD60" t="str">
        <f t="shared" si="10"/>
        <v>ifergan2024beneath</v>
      </c>
      <c r="AE60" t="str">
        <f t="shared" si="11"/>
        <v/>
      </c>
      <c r="AF60" t="str">
        <f t="shared" si="12"/>
        <v/>
      </c>
      <c r="AG60" t="str">
        <f t="shared" si="13"/>
        <v/>
      </c>
      <c r="AH60">
        <f t="shared" si="16"/>
        <v>0</v>
      </c>
    </row>
    <row r="61" spans="1:34">
      <c r="A61">
        <v>60</v>
      </c>
      <c r="B61" s="2" t="s">
        <v>4</v>
      </c>
      <c r="C61" t="s">
        <v>53</v>
      </c>
      <c r="D61" t="s">
        <v>260</v>
      </c>
      <c r="E61" t="s">
        <v>5</v>
      </c>
      <c r="F61">
        <v>2024</v>
      </c>
      <c r="G61">
        <v>1</v>
      </c>
      <c r="R61" s="4"/>
      <c r="S61">
        <v>1</v>
      </c>
      <c r="W61">
        <v>1</v>
      </c>
      <c r="Z61">
        <v>1</v>
      </c>
      <c r="AA61">
        <v>1</v>
      </c>
      <c r="AB61">
        <f t="shared" si="14"/>
        <v>0</v>
      </c>
      <c r="AC61">
        <f t="shared" si="5"/>
        <v>1</v>
      </c>
      <c r="AD61" t="str">
        <f t="shared" si="10"/>
        <v>fandina2024can</v>
      </c>
      <c r="AE61" t="str">
        <f t="shared" si="11"/>
        <v/>
      </c>
      <c r="AF61" t="str">
        <f t="shared" si="12"/>
        <v/>
      </c>
      <c r="AG61" t="str">
        <f t="shared" si="13"/>
        <v/>
      </c>
      <c r="AH61">
        <f t="shared" si="16"/>
        <v>0</v>
      </c>
    </row>
    <row r="62" spans="1:34">
      <c r="A62">
        <v>61</v>
      </c>
      <c r="B62" s="2" t="s">
        <v>4</v>
      </c>
      <c r="C62" t="s">
        <v>102</v>
      </c>
      <c r="D62" t="s">
        <v>261</v>
      </c>
      <c r="E62" t="s">
        <v>101</v>
      </c>
      <c r="F62">
        <v>2024</v>
      </c>
      <c r="G62">
        <v>1</v>
      </c>
      <c r="L62">
        <v>1</v>
      </c>
      <c r="N62">
        <v>1</v>
      </c>
      <c r="Q62">
        <v>1</v>
      </c>
      <c r="R62" s="4"/>
      <c r="T62">
        <v>1</v>
      </c>
      <c r="U62">
        <v>1</v>
      </c>
      <c r="V62">
        <v>1</v>
      </c>
      <c r="W62">
        <v>1</v>
      </c>
      <c r="X62">
        <v>1</v>
      </c>
      <c r="Y62">
        <v>1</v>
      </c>
      <c r="Z62">
        <v>1</v>
      </c>
      <c r="AA62">
        <v>1</v>
      </c>
      <c r="AB62">
        <f t="shared" si="14"/>
        <v>0</v>
      </c>
      <c r="AC62">
        <f t="shared" si="5"/>
        <v>0</v>
      </c>
      <c r="AD62" t="str">
        <f t="shared" si="10"/>
        <v/>
      </c>
      <c r="AE62" t="str">
        <f t="shared" si="11"/>
        <v>don2024sharelm</v>
      </c>
      <c r="AF62" t="str">
        <f t="shared" si="12"/>
        <v>don2024sharelm</v>
      </c>
      <c r="AG62" t="str">
        <f t="shared" si="13"/>
        <v/>
      </c>
    </row>
    <row r="63" spans="1:34">
      <c r="A63">
        <v>62</v>
      </c>
      <c r="B63" s="2" t="s">
        <v>4</v>
      </c>
      <c r="C63" t="s">
        <v>59</v>
      </c>
      <c r="D63" t="s">
        <v>203</v>
      </c>
      <c r="E63" t="s">
        <v>156</v>
      </c>
      <c r="F63">
        <v>2024</v>
      </c>
      <c r="G63">
        <v>1</v>
      </c>
      <c r="N63">
        <v>1</v>
      </c>
      <c r="P63">
        <v>1</v>
      </c>
      <c r="Q63">
        <v>1</v>
      </c>
      <c r="R63" s="4"/>
      <c r="U63">
        <v>1</v>
      </c>
      <c r="V63">
        <v>1</v>
      </c>
      <c r="Y63">
        <v>1</v>
      </c>
      <c r="Z63">
        <v>1</v>
      </c>
      <c r="AA63">
        <v>1</v>
      </c>
      <c r="AB63">
        <f t="shared" si="14"/>
        <v>0</v>
      </c>
      <c r="AC63">
        <f t="shared" si="5"/>
        <v>0</v>
      </c>
      <c r="AD63" t="str">
        <f t="shared" si="10"/>
        <v/>
      </c>
      <c r="AE63" t="str">
        <f t="shared" si="11"/>
        <v>DBLP:journals/corr/abs-2407-10944</v>
      </c>
      <c r="AF63" t="str">
        <f t="shared" si="12"/>
        <v/>
      </c>
      <c r="AG63" t="str">
        <f t="shared" si="13"/>
        <v/>
      </c>
      <c r="AH63">
        <f t="shared" ref="AH63:AH66" si="17">IF(Y63+S63&gt;1,1,0)</f>
        <v>0</v>
      </c>
    </row>
    <row r="64" spans="1:34">
      <c r="A64">
        <v>63</v>
      </c>
      <c r="B64" s="2" t="s">
        <v>3</v>
      </c>
      <c r="C64" t="s">
        <v>58</v>
      </c>
      <c r="D64" t="s">
        <v>202</v>
      </c>
      <c r="E64" t="s">
        <v>155</v>
      </c>
      <c r="F64">
        <v>2024</v>
      </c>
      <c r="G64">
        <v>1</v>
      </c>
      <c r="N64">
        <v>1</v>
      </c>
      <c r="R64" s="4"/>
      <c r="S64">
        <v>1</v>
      </c>
      <c r="V64">
        <v>1</v>
      </c>
      <c r="W64">
        <v>1</v>
      </c>
      <c r="Z64">
        <v>1</v>
      </c>
      <c r="AA64">
        <v>1</v>
      </c>
      <c r="AB64">
        <f t="shared" si="14"/>
        <v>0</v>
      </c>
      <c r="AC64">
        <f t="shared" si="5"/>
        <v>1</v>
      </c>
      <c r="AD64" t="str">
        <f t="shared" si="10"/>
        <v>DBLP:journals/corr/abs-2407-13696</v>
      </c>
      <c r="AE64" t="str">
        <f t="shared" si="11"/>
        <v>DBLP:journals/corr/abs-2407-13696</v>
      </c>
      <c r="AF64" t="str">
        <f t="shared" si="12"/>
        <v/>
      </c>
      <c r="AG64" t="str">
        <f t="shared" si="13"/>
        <v/>
      </c>
      <c r="AH64">
        <f t="shared" si="17"/>
        <v>0</v>
      </c>
    </row>
    <row r="65" spans="1:34">
      <c r="A65">
        <v>64</v>
      </c>
      <c r="B65" s="2" t="s">
        <v>2</v>
      </c>
      <c r="C65" t="s">
        <v>57</v>
      </c>
      <c r="D65" t="s">
        <v>201</v>
      </c>
      <c r="E65" t="s">
        <v>154</v>
      </c>
      <c r="F65">
        <v>2024</v>
      </c>
      <c r="G65">
        <v>1</v>
      </c>
      <c r="N65">
        <v>1</v>
      </c>
      <c r="O65">
        <v>1</v>
      </c>
      <c r="P65">
        <v>1</v>
      </c>
      <c r="Q65">
        <v>1</v>
      </c>
      <c r="R65" s="4"/>
      <c r="Y65">
        <v>1</v>
      </c>
      <c r="Z65">
        <v>1</v>
      </c>
      <c r="AA65">
        <v>1</v>
      </c>
      <c r="AB65">
        <f t="shared" si="14"/>
        <v>0</v>
      </c>
      <c r="AC65">
        <f t="shared" si="5"/>
        <v>1</v>
      </c>
      <c r="AD65" t="str">
        <f t="shared" si="10"/>
        <v>DBLP:journals/corr/abs-2407-00066</v>
      </c>
      <c r="AE65" t="str">
        <f t="shared" si="11"/>
        <v/>
      </c>
      <c r="AF65" t="str">
        <f t="shared" si="12"/>
        <v/>
      </c>
      <c r="AG65" t="str">
        <f t="shared" si="13"/>
        <v/>
      </c>
      <c r="AH65">
        <f t="shared" si="17"/>
        <v>0</v>
      </c>
    </row>
    <row r="66" spans="1:34">
      <c r="A66">
        <v>65</v>
      </c>
      <c r="B66" s="2" t="s">
        <v>1</v>
      </c>
      <c r="C66" t="s">
        <v>173</v>
      </c>
      <c r="D66" t="s">
        <v>262</v>
      </c>
      <c r="E66" t="s">
        <v>172</v>
      </c>
      <c r="F66">
        <v>2024</v>
      </c>
      <c r="G66">
        <v>1</v>
      </c>
      <c r="H66">
        <v>1</v>
      </c>
      <c r="M66">
        <v>1</v>
      </c>
      <c r="O66">
        <v>1</v>
      </c>
      <c r="R66" s="4">
        <v>1</v>
      </c>
      <c r="T66">
        <v>1</v>
      </c>
      <c r="U66">
        <v>1</v>
      </c>
      <c r="V66">
        <v>1</v>
      </c>
      <c r="W66">
        <v>1</v>
      </c>
      <c r="X66">
        <v>1</v>
      </c>
      <c r="Y66">
        <v>1</v>
      </c>
      <c r="Z66">
        <v>1</v>
      </c>
      <c r="AA66">
        <v>1</v>
      </c>
      <c r="AB66">
        <f t="shared" si="14"/>
        <v>0</v>
      </c>
      <c r="AC66">
        <f t="shared" si="5"/>
        <v>1</v>
      </c>
      <c r="AD66" t="str">
        <f t="shared" ref="AD66:AD72" si="18">IF(AC66,D66,"")</f>
        <v>wilcox2024bigger</v>
      </c>
      <c r="AE66" t="str">
        <f t="shared" ref="AE66:AE72" si="19">IF(V66,D66,"")</f>
        <v>wilcox2024bigger</v>
      </c>
      <c r="AF66" t="str">
        <f t="shared" ref="AF66:AF72" si="20">IF(X66,D66,"")</f>
        <v>wilcox2024bigger</v>
      </c>
      <c r="AG66" t="str">
        <f t="shared" si="13"/>
        <v/>
      </c>
      <c r="AH66">
        <f t="shared" si="17"/>
        <v>0</v>
      </c>
    </row>
    <row r="67" spans="1:34">
      <c r="A67">
        <v>66</v>
      </c>
      <c r="B67" s="2" t="s">
        <v>0</v>
      </c>
      <c r="C67" t="s">
        <v>55</v>
      </c>
      <c r="D67" t="s">
        <v>200</v>
      </c>
      <c r="E67" t="s">
        <v>56</v>
      </c>
      <c r="F67">
        <v>2024</v>
      </c>
      <c r="G67">
        <v>1</v>
      </c>
      <c r="J67">
        <v>1</v>
      </c>
      <c r="O67">
        <v>1</v>
      </c>
      <c r="R67" s="4"/>
      <c r="T67">
        <v>1</v>
      </c>
      <c r="V67">
        <v>1</v>
      </c>
      <c r="W67">
        <v>1</v>
      </c>
      <c r="X67">
        <v>1</v>
      </c>
      <c r="Y67">
        <v>1</v>
      </c>
      <c r="Z67">
        <v>1</v>
      </c>
      <c r="AA67">
        <v>1</v>
      </c>
      <c r="AB67">
        <f t="shared" si="14"/>
        <v>0</v>
      </c>
      <c r="AC67">
        <f t="shared" ref="AC67:AC79" si="21">IF(SUM(S67,O67)&gt;0,1,0)</f>
        <v>1</v>
      </c>
      <c r="AD67" t="str">
        <f t="shared" si="18"/>
        <v>DBLP:journals/corr/abs-2311-07682</v>
      </c>
      <c r="AE67" t="str">
        <f t="shared" si="19"/>
        <v>DBLP:journals/corr/abs-2311-07682</v>
      </c>
      <c r="AF67" t="str">
        <f t="shared" si="20"/>
        <v>DBLP:journals/corr/abs-2311-07682</v>
      </c>
      <c r="AG67" t="str">
        <f t="shared" si="13"/>
        <v/>
      </c>
    </row>
    <row r="68" spans="1:34">
      <c r="A68">
        <v>67</v>
      </c>
      <c r="B68" s="1" t="s">
        <v>197</v>
      </c>
      <c r="C68" s="1" t="s">
        <v>196</v>
      </c>
      <c r="D68" t="s">
        <v>199</v>
      </c>
      <c r="E68" t="s">
        <v>198</v>
      </c>
      <c r="F68">
        <v>2024</v>
      </c>
      <c r="G68">
        <v>1</v>
      </c>
      <c r="L68">
        <v>1</v>
      </c>
      <c r="R68" s="4"/>
      <c r="T68">
        <v>1</v>
      </c>
      <c r="V68">
        <v>1</v>
      </c>
      <c r="W68">
        <v>1</v>
      </c>
      <c r="X68">
        <v>1</v>
      </c>
      <c r="Z68">
        <v>1</v>
      </c>
      <c r="AA68">
        <v>1</v>
      </c>
      <c r="AB68">
        <f t="shared" si="14"/>
        <v>0</v>
      </c>
      <c r="AC68">
        <f t="shared" si="21"/>
        <v>0</v>
      </c>
      <c r="AD68" t="str">
        <f t="shared" si="18"/>
        <v/>
      </c>
      <c r="AE68" t="str">
        <f t="shared" si="19"/>
        <v>DonYehiya2024TheFO</v>
      </c>
      <c r="AF68" t="str">
        <f t="shared" si="20"/>
        <v>DonYehiya2024TheFO</v>
      </c>
      <c r="AG68" t="str">
        <f t="shared" si="13"/>
        <v/>
      </c>
    </row>
    <row r="69" spans="1:34" ht="17">
      <c r="A69">
        <v>68</v>
      </c>
      <c r="B69" t="s">
        <v>267</v>
      </c>
      <c r="C69" s="2" t="s">
        <v>268</v>
      </c>
      <c r="D69" s="1" t="s">
        <v>270</v>
      </c>
      <c r="E69" s="10" t="s">
        <v>269</v>
      </c>
      <c r="F69">
        <v>2024</v>
      </c>
      <c r="G69">
        <v>1</v>
      </c>
      <c r="O69">
        <v>1</v>
      </c>
      <c r="R69" s="4">
        <v>1</v>
      </c>
      <c r="Z69">
        <v>1</v>
      </c>
      <c r="AA69">
        <v>1</v>
      </c>
      <c r="AB69">
        <f t="shared" si="14"/>
        <v>0</v>
      </c>
      <c r="AC69">
        <f t="shared" si="21"/>
        <v>1</v>
      </c>
      <c r="AD69" t="str">
        <f t="shared" si="18"/>
        <v>zhang2024unforgettable</v>
      </c>
      <c r="AE69" t="str">
        <f t="shared" si="19"/>
        <v/>
      </c>
      <c r="AF69" t="str">
        <f t="shared" si="20"/>
        <v/>
      </c>
      <c r="AG69" t="str">
        <f t="shared" si="13"/>
        <v/>
      </c>
      <c r="AH69">
        <f>IF(Y69+S69&gt;1,1,0)</f>
        <v>0</v>
      </c>
    </row>
    <row r="70" spans="1:34" ht="17">
      <c r="A70">
        <v>69</v>
      </c>
      <c r="B70" t="s">
        <v>271</v>
      </c>
      <c r="C70" s="2" t="s">
        <v>272</v>
      </c>
      <c r="D70" t="s">
        <v>287</v>
      </c>
      <c r="E70" s="10" t="s">
        <v>273</v>
      </c>
      <c r="F70">
        <v>2024</v>
      </c>
      <c r="G70">
        <v>1</v>
      </c>
      <c r="J70">
        <v>1</v>
      </c>
      <c r="O70">
        <v>1</v>
      </c>
      <c r="P70">
        <v>1</v>
      </c>
      <c r="R70" s="4"/>
      <c r="Y70">
        <v>1</v>
      </c>
      <c r="Z70">
        <v>1</v>
      </c>
      <c r="AA70">
        <v>1</v>
      </c>
      <c r="AB70">
        <f t="shared" si="14"/>
        <v>0</v>
      </c>
      <c r="AC70">
        <f t="shared" si="21"/>
        <v>1</v>
      </c>
      <c r="AD70" t="str">
        <f t="shared" si="18"/>
        <v>DBLP:journals/corr/abs-2311-13171</v>
      </c>
      <c r="AE70" t="str">
        <f t="shared" si="19"/>
        <v/>
      </c>
      <c r="AF70" t="str">
        <f t="shared" si="20"/>
        <v/>
      </c>
      <c r="AG70" t="str">
        <f t="shared" si="13"/>
        <v/>
      </c>
    </row>
    <row r="71" spans="1:34" ht="17">
      <c r="A71">
        <v>70</v>
      </c>
      <c r="B71" t="s">
        <v>271</v>
      </c>
      <c r="C71" s="2" t="s">
        <v>290</v>
      </c>
      <c r="D71" t="s">
        <v>289</v>
      </c>
      <c r="E71" s="10" t="s">
        <v>291</v>
      </c>
      <c r="F71">
        <v>2024</v>
      </c>
      <c r="G71">
        <v>1</v>
      </c>
      <c r="J71">
        <v>1</v>
      </c>
      <c r="O71">
        <v>1</v>
      </c>
      <c r="P71">
        <v>1</v>
      </c>
      <c r="R71" s="4">
        <v>1</v>
      </c>
      <c r="V71">
        <v>1</v>
      </c>
      <c r="W71">
        <v>1</v>
      </c>
      <c r="X71">
        <v>1</v>
      </c>
      <c r="Y71">
        <v>1</v>
      </c>
      <c r="Z71">
        <v>1</v>
      </c>
      <c r="AA71">
        <v>1</v>
      </c>
      <c r="AB71">
        <f t="shared" si="14"/>
        <v>0</v>
      </c>
      <c r="AC71">
        <f t="shared" si="21"/>
        <v>1</v>
      </c>
      <c r="AD71" t="str">
        <f t="shared" si="18"/>
        <v>knots</v>
      </c>
      <c r="AE71" t="str">
        <f t="shared" si="19"/>
        <v>knots</v>
      </c>
      <c r="AF71" t="str">
        <f t="shared" si="20"/>
        <v>knots</v>
      </c>
      <c r="AG71" t="str">
        <f t="shared" si="13"/>
        <v/>
      </c>
    </row>
    <row r="72" spans="1:34" ht="17">
      <c r="A72">
        <v>71</v>
      </c>
      <c r="B72" t="s">
        <v>193</v>
      </c>
      <c r="C72" s="1" t="s">
        <v>171</v>
      </c>
      <c r="D72" s="10" t="s">
        <v>288</v>
      </c>
      <c r="E72" s="10" t="s">
        <v>295</v>
      </c>
      <c r="F72">
        <v>2024</v>
      </c>
      <c r="G72">
        <v>1</v>
      </c>
      <c r="O72">
        <v>1</v>
      </c>
      <c r="R72" s="4"/>
      <c r="T72">
        <v>1</v>
      </c>
      <c r="W72">
        <v>1</v>
      </c>
      <c r="AA72">
        <v>1</v>
      </c>
      <c r="AB72">
        <f t="shared" si="14"/>
        <v>0</v>
      </c>
      <c r="AC72">
        <f t="shared" si="21"/>
        <v>1</v>
      </c>
      <c r="AD72" t="str">
        <f t="shared" si="18"/>
        <v>hild</v>
      </c>
      <c r="AE72" t="str">
        <f t="shared" si="19"/>
        <v/>
      </c>
      <c r="AF72" t="str">
        <f t="shared" si="20"/>
        <v/>
      </c>
      <c r="AG72" t="str">
        <f t="shared" si="13"/>
        <v/>
      </c>
      <c r="AH72">
        <f t="shared" ref="AH72:AH76" si="22">IF(Y72+S72&gt;1,1,0)</f>
        <v>0</v>
      </c>
    </row>
    <row r="73" spans="1:34">
      <c r="A73">
        <v>72</v>
      </c>
      <c r="B73" t="s">
        <v>271</v>
      </c>
      <c r="C73" s="5" t="s">
        <v>296</v>
      </c>
      <c r="D73" t="s">
        <v>304</v>
      </c>
      <c r="E73" s="5" t="s">
        <v>297</v>
      </c>
      <c r="F73">
        <v>2024</v>
      </c>
      <c r="G73">
        <v>1</v>
      </c>
      <c r="H73">
        <v>1</v>
      </c>
      <c r="K73">
        <v>1</v>
      </c>
      <c r="M73">
        <v>1</v>
      </c>
      <c r="O73">
        <v>1</v>
      </c>
      <c r="P73">
        <v>1</v>
      </c>
      <c r="R73" s="4">
        <v>1</v>
      </c>
      <c r="S73">
        <v>1</v>
      </c>
      <c r="W73">
        <v>1</v>
      </c>
      <c r="X73">
        <v>1</v>
      </c>
      <c r="Y73">
        <v>1</v>
      </c>
      <c r="Z73">
        <v>1</v>
      </c>
      <c r="AA73">
        <v>1</v>
      </c>
      <c r="AB73">
        <f t="shared" si="14"/>
        <v>0</v>
      </c>
      <c r="AC73">
        <f t="shared" si="21"/>
        <v>1</v>
      </c>
      <c r="AH73">
        <f t="shared" si="22"/>
        <v>1</v>
      </c>
    </row>
    <row r="74" spans="1:34">
      <c r="A74">
        <v>73</v>
      </c>
      <c r="B74" t="s">
        <v>305</v>
      </c>
      <c r="C74" s="5" t="s">
        <v>298</v>
      </c>
      <c r="D74" t="s">
        <v>300</v>
      </c>
      <c r="E74" s="5" t="s">
        <v>299</v>
      </c>
      <c r="F74">
        <v>2024</v>
      </c>
      <c r="G74">
        <v>1</v>
      </c>
      <c r="H74">
        <v>1</v>
      </c>
      <c r="K74">
        <v>1</v>
      </c>
      <c r="M74">
        <v>1</v>
      </c>
      <c r="N74">
        <v>1</v>
      </c>
      <c r="O74">
        <v>1</v>
      </c>
      <c r="P74">
        <v>1</v>
      </c>
      <c r="Q74">
        <v>1</v>
      </c>
      <c r="R74" s="4">
        <v>1</v>
      </c>
      <c r="S74">
        <v>1</v>
      </c>
      <c r="V74">
        <v>1</v>
      </c>
      <c r="W74">
        <v>1</v>
      </c>
      <c r="X74">
        <v>1</v>
      </c>
      <c r="Y74">
        <v>1</v>
      </c>
      <c r="Z74">
        <v>1</v>
      </c>
      <c r="AA74">
        <v>1</v>
      </c>
      <c r="AB74">
        <f t="shared" si="14"/>
        <v>0</v>
      </c>
      <c r="AC74">
        <f t="shared" si="21"/>
        <v>1</v>
      </c>
      <c r="AH74">
        <f t="shared" si="22"/>
        <v>1</v>
      </c>
    </row>
    <row r="75" spans="1:34">
      <c r="A75">
        <v>74</v>
      </c>
      <c r="B75" t="s">
        <v>271</v>
      </c>
      <c r="C75" s="5" t="s">
        <v>301</v>
      </c>
      <c r="D75" t="s">
        <v>302</v>
      </c>
      <c r="E75" s="5" t="s">
        <v>303</v>
      </c>
      <c r="F75">
        <v>2024</v>
      </c>
      <c r="G75">
        <v>1</v>
      </c>
      <c r="N75">
        <v>1</v>
      </c>
      <c r="R75" s="4"/>
      <c r="S75">
        <v>1</v>
      </c>
      <c r="Z75">
        <v>1</v>
      </c>
      <c r="AA75">
        <v>1</v>
      </c>
      <c r="AB75">
        <v>1</v>
      </c>
      <c r="AH75">
        <f t="shared" si="22"/>
        <v>0</v>
      </c>
    </row>
    <row r="76" spans="1:34">
      <c r="A76">
        <v>75</v>
      </c>
      <c r="B76" t="s">
        <v>194</v>
      </c>
      <c r="C76" s="1" t="s">
        <v>170</v>
      </c>
      <c r="D76" s="1"/>
      <c r="F76">
        <v>2024</v>
      </c>
      <c r="G76">
        <v>1</v>
      </c>
      <c r="H76">
        <v>1</v>
      </c>
      <c r="N76">
        <v>1</v>
      </c>
      <c r="R76" s="4">
        <v>1</v>
      </c>
      <c r="S76">
        <v>1</v>
      </c>
      <c r="T76">
        <v>1</v>
      </c>
      <c r="U76">
        <v>1</v>
      </c>
      <c r="V76">
        <v>1</v>
      </c>
      <c r="W76">
        <v>1</v>
      </c>
      <c r="X76">
        <v>1</v>
      </c>
      <c r="Y76">
        <v>1</v>
      </c>
      <c r="AA76">
        <v>1</v>
      </c>
      <c r="AB76">
        <f t="shared" si="14"/>
        <v>0</v>
      </c>
      <c r="AC76">
        <f t="shared" si="21"/>
        <v>1</v>
      </c>
      <c r="AD76">
        <f>IF(AC76,D76,"")</f>
        <v>0</v>
      </c>
      <c r="AE76">
        <f>IF(V76,D76,"")</f>
        <v>0</v>
      </c>
      <c r="AF76">
        <f>IF(X76,D76,"")</f>
        <v>0</v>
      </c>
      <c r="AG76" t="str">
        <f>IF(AB76,D76,"")</f>
        <v/>
      </c>
      <c r="AH76">
        <f t="shared" si="22"/>
        <v>1</v>
      </c>
    </row>
    <row r="77" spans="1:34">
      <c r="A77">
        <v>76</v>
      </c>
      <c r="B77" t="s">
        <v>195</v>
      </c>
      <c r="C77" s="1" t="s">
        <v>169</v>
      </c>
      <c r="D77" s="1"/>
      <c r="F77">
        <v>2024</v>
      </c>
      <c r="G77">
        <v>1</v>
      </c>
      <c r="J77">
        <v>1</v>
      </c>
      <c r="N77">
        <v>1</v>
      </c>
      <c r="R77" s="4">
        <v>1</v>
      </c>
      <c r="S77">
        <v>1</v>
      </c>
      <c r="T77">
        <v>1</v>
      </c>
      <c r="V77">
        <v>1</v>
      </c>
      <c r="W77">
        <v>1</v>
      </c>
      <c r="X77">
        <v>1</v>
      </c>
      <c r="Y77">
        <v>1</v>
      </c>
      <c r="AA77">
        <v>1</v>
      </c>
      <c r="AB77">
        <f t="shared" si="14"/>
        <v>0</v>
      </c>
      <c r="AC77">
        <f t="shared" si="21"/>
        <v>1</v>
      </c>
      <c r="AD77">
        <f>IF(AC77,D77,"")</f>
        <v>0</v>
      </c>
      <c r="AE77">
        <f>IF(V77,D77,"")</f>
        <v>0</v>
      </c>
      <c r="AF77">
        <f>IF(X77,D77,"")</f>
        <v>0</v>
      </c>
      <c r="AG77" t="str">
        <f>IF(AB77,D77,"")</f>
        <v/>
      </c>
    </row>
    <row r="78" spans="1:34">
      <c r="A78">
        <v>77</v>
      </c>
      <c r="B78" t="s">
        <v>271</v>
      </c>
      <c r="C78" s="1" t="s">
        <v>168</v>
      </c>
      <c r="D78" s="1"/>
      <c r="F78">
        <v>2024</v>
      </c>
      <c r="G78">
        <v>1</v>
      </c>
      <c r="H78">
        <v>1</v>
      </c>
      <c r="N78">
        <v>1</v>
      </c>
      <c r="R78" s="4">
        <v>1</v>
      </c>
      <c r="S78">
        <v>1</v>
      </c>
      <c r="T78">
        <v>1</v>
      </c>
      <c r="V78">
        <v>1</v>
      </c>
      <c r="W78">
        <v>1</v>
      </c>
      <c r="X78">
        <v>1</v>
      </c>
      <c r="Y78">
        <v>1</v>
      </c>
      <c r="AA78">
        <v>1</v>
      </c>
      <c r="AB78">
        <f t="shared" si="14"/>
        <v>0</v>
      </c>
      <c r="AC78">
        <f t="shared" si="21"/>
        <v>1</v>
      </c>
      <c r="AD78">
        <f>IF(AC78,D78,"")</f>
        <v>0</v>
      </c>
      <c r="AE78">
        <f>IF(V78,D78,"")</f>
        <v>0</v>
      </c>
      <c r="AF78">
        <f>IF(X78,D78,"")</f>
        <v>0</v>
      </c>
      <c r="AG78" t="str">
        <f>IF(AB78,D78,"")</f>
        <v/>
      </c>
      <c r="AH78">
        <f>IF(Y78+S78&gt;1,1,0)</f>
        <v>1</v>
      </c>
    </row>
    <row r="79" spans="1:34">
      <c r="A79">
        <v>78</v>
      </c>
      <c r="B79" t="s">
        <v>314</v>
      </c>
      <c r="C79" s="2" t="s">
        <v>315</v>
      </c>
      <c r="D79" s="1" t="s">
        <v>316</v>
      </c>
      <c r="F79">
        <v>2024</v>
      </c>
      <c r="G79">
        <v>1</v>
      </c>
      <c r="N79">
        <v>1</v>
      </c>
      <c r="Q79">
        <v>1</v>
      </c>
      <c r="R79" s="4"/>
      <c r="S79">
        <v>1</v>
      </c>
      <c r="V79">
        <v>1</v>
      </c>
      <c r="X79">
        <v>1</v>
      </c>
      <c r="Z79">
        <v>1</v>
      </c>
      <c r="AB79">
        <f t="shared" si="14"/>
        <v>0</v>
      </c>
      <c r="AC79">
        <f t="shared" si="21"/>
        <v>1</v>
      </c>
    </row>
    <row r="82" spans="6:33">
      <c r="F82" s="1" t="s">
        <v>189</v>
      </c>
      <c r="G82">
        <f>SUM(G2:G79)</f>
        <v>77</v>
      </c>
      <c r="H82">
        <f t="shared" ref="H82:L82" si="23">SUM(H2:H78)</f>
        <v>6</v>
      </c>
      <c r="I82">
        <f t="shared" si="23"/>
        <v>5</v>
      </c>
      <c r="J82">
        <f t="shared" si="23"/>
        <v>10</v>
      </c>
      <c r="K82">
        <f t="shared" si="23"/>
        <v>2</v>
      </c>
      <c r="L82">
        <f t="shared" si="23"/>
        <v>4</v>
      </c>
      <c r="M82">
        <f t="shared" ref="M82" si="24">SUM(M2:M78)</f>
        <v>4</v>
      </c>
      <c r="N82">
        <f>SUM(N2:N79)</f>
        <v>38</v>
      </c>
      <c r="O82">
        <f t="shared" ref="O82:Z82" si="25">SUM(O2:O78)</f>
        <v>42</v>
      </c>
      <c r="P82">
        <f t="shared" si="25"/>
        <v>42</v>
      </c>
      <c r="Q82">
        <f t="shared" si="25"/>
        <v>19</v>
      </c>
      <c r="R82">
        <f t="shared" si="25"/>
        <v>32</v>
      </c>
      <c r="S82">
        <f>SUM(S2:S79)</f>
        <v>39</v>
      </c>
      <c r="T82">
        <f t="shared" si="25"/>
        <v>16</v>
      </c>
      <c r="U82">
        <f t="shared" si="25"/>
        <v>30</v>
      </c>
      <c r="V82">
        <f>SUM(V2:V79)</f>
        <v>32</v>
      </c>
      <c r="W82">
        <f t="shared" si="25"/>
        <v>35</v>
      </c>
      <c r="X82">
        <f>SUM(X2:X79)</f>
        <v>35</v>
      </c>
      <c r="Y82">
        <f t="shared" si="25"/>
        <v>40</v>
      </c>
      <c r="Z82">
        <f t="shared" si="25"/>
        <v>72</v>
      </c>
      <c r="AA82">
        <f>COUNT(A2:A78)</f>
        <v>77</v>
      </c>
      <c r="AB82">
        <f>SUM(AB2:AB79)</f>
        <v>7</v>
      </c>
      <c r="AC82">
        <f>SUM(AC2:AC79)</f>
        <v>62</v>
      </c>
      <c r="AD82">
        <f>IF(AC82,D80,"")</f>
        <v>0</v>
      </c>
      <c r="AE82">
        <f>IF(V82,D80,"")</f>
        <v>0</v>
      </c>
      <c r="AF82">
        <f>IF(X82,D80,"")</f>
        <v>0</v>
      </c>
      <c r="AG82">
        <f>IF(AB82,D80,"")</f>
        <v>0</v>
      </c>
    </row>
    <row r="83" spans="6:33">
      <c r="F83" s="1" t="s">
        <v>190</v>
      </c>
      <c r="G83" s="7">
        <f t="shared" ref="G83:L83" si="26">G82/$AA$82</f>
        <v>1</v>
      </c>
      <c r="H83" s="7">
        <f t="shared" si="26"/>
        <v>7.792207792207792E-2</v>
      </c>
      <c r="I83" s="7">
        <f t="shared" si="26"/>
        <v>6.4935064935064929E-2</v>
      </c>
      <c r="J83" s="7">
        <f t="shared" si="26"/>
        <v>0.12987012987012986</v>
      </c>
      <c r="K83" s="7">
        <f t="shared" si="26"/>
        <v>2.5974025974025976E-2</v>
      </c>
      <c r="L83" s="7">
        <f t="shared" si="26"/>
        <v>5.1948051948051951E-2</v>
      </c>
      <c r="M83" s="7">
        <f t="shared" ref="M83:Z83" si="27">M82/$AA$82</f>
        <v>5.1948051948051951E-2</v>
      </c>
      <c r="N83" s="7">
        <f t="shared" si="27"/>
        <v>0.4935064935064935</v>
      </c>
      <c r="O83" s="7">
        <f t="shared" si="27"/>
        <v>0.54545454545454541</v>
      </c>
      <c r="P83" s="7">
        <f t="shared" si="27"/>
        <v>0.54545454545454541</v>
      </c>
      <c r="Q83" s="7">
        <f t="shared" si="27"/>
        <v>0.24675324675324675</v>
      </c>
      <c r="R83" s="7">
        <f t="shared" si="27"/>
        <v>0.41558441558441561</v>
      </c>
      <c r="S83" s="7">
        <f t="shared" si="27"/>
        <v>0.50649350649350644</v>
      </c>
      <c r="T83" s="7">
        <f t="shared" si="27"/>
        <v>0.20779220779220781</v>
      </c>
      <c r="U83" s="7">
        <f t="shared" si="27"/>
        <v>0.38961038961038963</v>
      </c>
      <c r="V83" s="7">
        <f t="shared" si="27"/>
        <v>0.41558441558441561</v>
      </c>
      <c r="W83" s="7">
        <f t="shared" si="27"/>
        <v>0.45454545454545453</v>
      </c>
      <c r="X83" s="7">
        <f t="shared" si="27"/>
        <v>0.45454545454545453</v>
      </c>
      <c r="Y83" s="7">
        <f t="shared" si="27"/>
        <v>0.51948051948051943</v>
      </c>
      <c r="Z83" s="7">
        <f t="shared" si="27"/>
        <v>0.93506493506493504</v>
      </c>
      <c r="AA83">
        <f>COUNT(A3:A80)</f>
        <v>77</v>
      </c>
      <c r="AD83" t="str">
        <f>IF(AC83,D81,"")</f>
        <v/>
      </c>
      <c r="AE83">
        <f>IF(V83,D81,"")</f>
        <v>0</v>
      </c>
      <c r="AF83">
        <f>IF(X83,D81,"")</f>
        <v>0</v>
      </c>
      <c r="AG83" t="str">
        <f>IF(AB83,D81,"")</f>
        <v/>
      </c>
    </row>
    <row r="85" spans="6:33" ht="17">
      <c r="AD85" s="8"/>
    </row>
    <row r="86" spans="6:33" ht="17">
      <c r="AD86" s="8"/>
    </row>
    <row r="87" spans="6:33" ht="17">
      <c r="AD87" s="8"/>
    </row>
    <row r="88" spans="6:33" ht="17">
      <c r="AD88" s="8"/>
    </row>
    <row r="89" spans="6:33" ht="17">
      <c r="AD89" s="8"/>
    </row>
    <row r="90" spans="6:33" ht="17">
      <c r="AD90" s="8"/>
    </row>
    <row r="91" spans="6:33" ht="17">
      <c r="AD91" s="8"/>
    </row>
    <row r="92" spans="6:33" ht="17">
      <c r="AD92" s="8"/>
    </row>
    <row r="93" spans="6:33" ht="17">
      <c r="AD93" s="8"/>
    </row>
    <row r="94" spans="6:33" ht="17">
      <c r="AD94" s="8"/>
    </row>
    <row r="95" spans="6:33" ht="17">
      <c r="AD95" s="8"/>
    </row>
    <row r="96" spans="6:33" ht="17">
      <c r="AD96" s="8"/>
    </row>
    <row r="97" spans="30:30" ht="17">
      <c r="AD97" s="8"/>
    </row>
    <row r="98" spans="30:30" ht="17">
      <c r="AD98" s="8"/>
    </row>
    <row r="99" spans="30:30" ht="17">
      <c r="AD99" s="8"/>
    </row>
    <row r="100" spans="30:30" ht="17">
      <c r="AD100" s="8"/>
    </row>
    <row r="101" spans="30:30" ht="17">
      <c r="AD101" s="8"/>
    </row>
    <row r="102" spans="30:30" ht="17">
      <c r="AD102" s="8"/>
    </row>
    <row r="103" spans="30:30" ht="17">
      <c r="AD103" s="8"/>
    </row>
    <row r="104" spans="30:30" ht="17">
      <c r="AD104" s="8"/>
    </row>
    <row r="105" spans="30:30" ht="17">
      <c r="AD105" s="8"/>
    </row>
    <row r="106" spans="30:30" ht="17">
      <c r="AD106" s="8"/>
    </row>
    <row r="107" spans="30:30" ht="17">
      <c r="AD107" s="8"/>
    </row>
    <row r="108" spans="30:30" ht="17">
      <c r="AD108" s="8"/>
    </row>
    <row r="109" spans="30:30" ht="17">
      <c r="AD109" s="8"/>
    </row>
    <row r="110" spans="30:30" ht="17">
      <c r="AD110" s="8"/>
    </row>
    <row r="111" spans="30:30" ht="17">
      <c r="AD111" s="8"/>
    </row>
    <row r="112" spans="30:30" ht="17">
      <c r="AD112" s="8"/>
    </row>
    <row r="113" spans="30:30" ht="17">
      <c r="AD113" s="8"/>
    </row>
    <row r="114" spans="30:30" ht="17">
      <c r="AD114" s="8"/>
    </row>
    <row r="115" spans="30:30" ht="17">
      <c r="AD115" s="8"/>
    </row>
    <row r="116" spans="30:30" ht="17">
      <c r="AD116" s="8"/>
    </row>
    <row r="117" spans="30:30" ht="17">
      <c r="AD117" s="8"/>
    </row>
    <row r="118" spans="30:30" ht="17">
      <c r="AD118" s="8"/>
    </row>
    <row r="119" spans="30:30" ht="17">
      <c r="AD119" s="8"/>
    </row>
    <row r="120" spans="30:30" ht="17">
      <c r="AD120" s="8"/>
    </row>
    <row r="121" spans="30:30" ht="17">
      <c r="AD121" s="8"/>
    </row>
    <row r="122" spans="30:30" ht="17">
      <c r="AD122" s="8"/>
    </row>
    <row r="123" spans="30:30" ht="17">
      <c r="AD123" s="8"/>
    </row>
    <row r="124" spans="30:30" ht="17">
      <c r="AD124" s="8"/>
    </row>
    <row r="125" spans="30:30" ht="17">
      <c r="AD125" s="8"/>
    </row>
    <row r="126" spans="30:30" ht="17">
      <c r="AD126" s="8"/>
    </row>
    <row r="127" spans="30:30" ht="17">
      <c r="AD127" s="8"/>
    </row>
    <row r="128" spans="30:30" ht="17">
      <c r="AD128" s="8"/>
    </row>
    <row r="129" spans="30:30" ht="17">
      <c r="AD129" s="8"/>
    </row>
    <row r="130" spans="30:30" ht="17">
      <c r="AD130" s="8"/>
    </row>
    <row r="131" spans="30:30" ht="17">
      <c r="AD131" s="8"/>
    </row>
    <row r="132" spans="30:30" ht="17">
      <c r="AD132" s="8"/>
    </row>
    <row r="133" spans="30:30" ht="17">
      <c r="AD133" s="8"/>
    </row>
    <row r="134" spans="30:30" ht="17">
      <c r="AD134" s="8"/>
    </row>
    <row r="135" spans="30:30" ht="17">
      <c r="AD135" s="8"/>
    </row>
    <row r="136" spans="30:30" ht="17">
      <c r="AD136" s="8"/>
    </row>
  </sheetData>
  <autoFilter ref="A1:AH78" xr:uid="{92277768-849A-7540-AC05-5E1BE041CC8E}"/>
  <hyperlinks>
    <hyperlink ref="B67" r:id="rId1" display="https://openreview.net/forum?id=rcFyU93Oa7&amp;referrer=%5BAuthor%20Console%5D(%2Fgroup%3Fid%3DEMNLP%2F2023%2FConference%2FAuthors%23your-submissions)" xr:uid="{36DE9BCE-B329-EF4F-BF26-0613BBDF3875}"/>
    <hyperlink ref="B66" r:id="rId2" display="https://osf.io/preprints/psyarxiv/rfwgd" xr:uid="{448B3646-CCB8-AB4B-BA0F-608838FF6ACB}"/>
    <hyperlink ref="B65" r:id="rId3" display="https://arxiv.org/abs/2407.00066" xr:uid="{77823A27-4449-CF4F-836B-C6C2E2EE6E08}"/>
    <hyperlink ref="B64" r:id="rId4" display="https://arxiv.org/abs/2407.13696" xr:uid="{FF745191-7E81-5A44-8BBD-41D13BC4886E}"/>
    <hyperlink ref="B63" r:id="rId5" display="https://arxiv.org/abs/2407.10944" xr:uid="{5B62354F-6603-7A4E-9016-BF70D76869CA}"/>
    <hyperlink ref="B62" r:id="rId6" display="https://arxiv.org/abs/2408.08291" xr:uid="{499BD698-B41F-E146-AE20-ACDD3E4E8B61}"/>
    <hyperlink ref="B61" r:id="rId7" display="https://scholar.google.com/citations?view_op=view_citation&amp;hl=en&amp;user=8b8IhUYAAAAJ&amp;sortby=pubdate&amp;citation_for_view=8b8IhUYAAAAJ:3s1wT3WcHBgC" xr:uid="{751B12EE-6336-EF4C-9E7C-2B4F4AFFA013}"/>
    <hyperlink ref="B60" r:id="rId8" display="https://scholar.google.com/citations?view_op=view_citation&amp;hl=en&amp;user=8b8IhUYAAAAJ&amp;sortby=pubdate&amp;citation_for_view=8b8IhUYAAAAJ:ZHo1McVdvXMC" xr:uid="{4EB5E467-26A5-B140-A3D0-CDA798F8A44E}"/>
    <hyperlink ref="B59" r:id="rId9" display="https://arxiv.org/abs/2404.15198" xr:uid="{65499EF7-1859-F94F-A2CB-E2D5ECFEE893}"/>
    <hyperlink ref="B58" r:id="rId10" display="https://arxiv.org/abs/2404.00459" xr:uid="{9DE0CFA8-285D-584C-89FC-BF9B61BB648C}"/>
    <hyperlink ref="B57" r:id="rId11" display="https://arxiv.org/abs/2405.17202" xr:uid="{7BFE7040-FED6-6749-ABB0-2C3312E409CE}"/>
    <hyperlink ref="B56" r:id="rId12" display="https://arxiv.org/abs/2405.09605" xr:uid="{7FD1A3D2-678B-B244-B742-867BBFF808F3}"/>
    <hyperlink ref="B55" r:id="rId13" display="https://arxiv.org/abs/2408.07057" xr:uid="{302E5A1F-BA4F-9B4B-A05A-CE12B5B16339}"/>
    <hyperlink ref="B54" r:id="rId14" display="https://arxiv.org/abs/2402.07891" xr:uid="{13CDBBE1-0233-8A4B-BD80-E921D8F7D968}"/>
    <hyperlink ref="B53" r:id="rId15" display="https://arxiv.org/abs/2401.14019" xr:uid="{66EC23D7-6BC1-414D-A028-4FD5EF581998}"/>
    <hyperlink ref="B52" r:id="rId16" display="https://arxiv.org/abs/2404.18923" xr:uid="{FD0A0BFD-D25D-7D44-9B7C-7957C0C1F00E}"/>
    <hyperlink ref="B51" r:id="rId17" display="https://arxiv.org/abs/2402.14992" xr:uid="{12A88DCB-808A-BA46-8394-A4B00A7C10DD}"/>
    <hyperlink ref="B50" r:id="rId18" display="https://arxiv.org/abs/2402.16842" xr:uid="{47A9001D-36BD-9E4B-BDBC-49A939C19E7B}"/>
    <hyperlink ref="B46" r:id="rId19" display="https://scholar.google.co.il/citations?view_op=view_citation&amp;hl=ar&amp;user=n9iywfAAAAAJ&amp;citation_for_view=n9iywfAAAAAJ:Y0pCki6q_DkC" xr:uid="{567A6C68-890C-AB46-830E-E20840835F53}"/>
    <hyperlink ref="B43" r:id="rId20" display="https://arxiv.org/abs/2407.21530" xr:uid="{A3F52119-7320-2B42-BF77-12FA58F1B05D}"/>
    <hyperlink ref="B42" r:id="rId21" display="https://openreview.net/forum?id=jvNVmkGxiU&amp;referrer=%5BAuthor%20Console%5D(%2Fgroup%3Fid%3DEMNLP%2F2023%2FConference%2FAuthors%23your-submissions)" xr:uid="{21813A33-7A39-5C49-946D-CC3551C97E84}"/>
    <hyperlink ref="B26" r:id="rId22" display="https://scholar.google.com/citations?view_op=view_citation&amp;hl=en&amp;user=8b8IhUYAAAAJ&amp;sortby=pubdate&amp;citation_for_view=8b8IhUYAAAAJ:qxL8FJ1GzNcC" xr:uid="{192E51CE-E2ED-DE41-8F77-06191D746E55}"/>
    <hyperlink ref="B24" r:id="rId23" display="https://arxiv.org/abs/2204.03044" xr:uid="{4E40DE16-47D9-9B46-AD6B-EAF08BD5499D}"/>
    <hyperlink ref="B23" r:id="rId24" display="https://scholar.google.com/citations?view_op=view_citation&amp;hl=en&amp;user=8b8IhUYAAAAJ&amp;sortby=pubdate&amp;citation_for_view=8b8IhUYAAAAJ:YOwf2qJgpHMC" xr:uid="{75D6349F-8FA4-6C4D-BD34-A925AA511834}"/>
    <hyperlink ref="B22" r:id="rId25" display="https://scholar.google.com/citations?view_op=view_citation&amp;hl=en&amp;user=8b8IhUYAAAAJ&amp;sortby=pubdate&amp;citation_for_view=8b8IhUYAAAAJ:ULOm3_A8WrAC" xr:uid="{3DB81EA8-85E2-E941-993A-4A4DC7C91616}"/>
    <hyperlink ref="B14" r:id="rId26" display="https://openreview.net/profile?email=leshem.choshen%40mail.huji.ac.il" xr:uid="{7971BD86-BA29-2E4F-9E72-BC26BB16A226}"/>
    <hyperlink ref="C69" r:id="rId27" display="https://scholar.google.com/citations?view_op=view_citation&amp;hl=en&amp;user=8b8IhUYAAAAJ&amp;sortby=pubdate&amp;citation_for_view=8b8IhUYAAAAJ:zA6iFVUQeVQC" xr:uid="{2CFAF4D0-B6AD-A447-8D31-56546E629E95}"/>
    <hyperlink ref="C70" r:id="rId28" display="https://scholar.google.com/citations?view_op=view_citation&amp;hl=en&amp;user=8b8IhUYAAAAJ&amp;cstart=20&amp;pagesize=80&amp;citation_for_view=8b8IhUYAAAAJ:j3f4tGmQtD8C" xr:uid="{F8CF4418-726D-9F4B-BC37-8F87A17DB37F}"/>
    <hyperlink ref="C79" r:id="rId29" display="https://scholar.google.com/citations?view_op=view_citation&amp;hl=en&amp;user=8b8IhUYAAAAJ&amp;sortby=pubdate&amp;citation_for_view=8b8IhUYAAAAJ:a0OBvERweLwC" xr:uid="{2FFDDCD1-17A7-4E45-B402-DE37F99CF71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31D25-D8AA-FE48-9789-4FAAE621EBE0}">
  <dimension ref="A1:Q72"/>
  <sheetViews>
    <sheetView workbookViewId="0">
      <selection activeCell="F1" sqref="F1"/>
    </sheetView>
  </sheetViews>
  <sheetFormatPr baseColWidth="10" defaultRowHeight="16"/>
  <sheetData>
    <row r="1" spans="1:17">
      <c r="A1" t="str">
        <f>Sheet1!A1</f>
        <v>Time of publish ID</v>
      </c>
      <c r="B1" t="str">
        <f>Sheet1!B1</f>
        <v>Venue</v>
      </c>
      <c r="C1" t="str">
        <f>Sheet1!C1</f>
        <v>Name</v>
      </c>
      <c r="D1" t="str">
        <f>Sheet1!E1</f>
        <v>Authors</v>
      </c>
      <c r="E1" t="str">
        <f>Sheet1!F1</f>
        <v>year</v>
      </c>
      <c r="F1" t="str">
        <f>Sheet1!N1</f>
        <v>Resources</v>
      </c>
      <c r="G1" t="str">
        <f>Sheet1!O1</f>
        <v>The Science of Deep Learning</v>
      </c>
      <c r="H1" t="str">
        <f>Sheet1!P1</f>
        <v>Methods</v>
      </c>
      <c r="I1" t="str">
        <f>Sheet1!Q1</f>
        <v>Dataset</v>
      </c>
      <c r="J1" t="str">
        <f>Sheet1!R1</f>
        <v>Training</v>
      </c>
      <c r="K1" t="str">
        <f>Sheet1!S1</f>
        <v>Evaluation</v>
      </c>
      <c r="L1" t="str">
        <f>Sheet1!T1</f>
        <v>Shared-task\effort</v>
      </c>
      <c r="M1" t="str">
        <f>Sheet1!U1</f>
        <v>Language&amp;Cognition</v>
      </c>
      <c r="N1" t="str">
        <f>Sheet1!V1</f>
        <v>Open</v>
      </c>
      <c r="O1" t="str">
        <f>Sheet1!W1</f>
        <v>Meta-science</v>
      </c>
      <c r="P1" t="str">
        <f>Sheet1!X1</f>
        <v>Enabling Low Budget Research</v>
      </c>
      <c r="Q1" t="str">
        <f>Sheet1!Y1</f>
        <v>Efficiency</v>
      </c>
    </row>
    <row r="2" spans="1:17">
      <c r="A2">
        <f>Sheet1!A2</f>
        <v>1</v>
      </c>
      <c r="B2" t="str">
        <f>Sheet1!B2</f>
        <v xml:space="preserve">ICLR 2018* </v>
      </c>
      <c r="C2" t="str">
        <f>Sheet1!C2</f>
        <v xml:space="preserve"> DORA The Explorer: Directed Outreaching Reinforcement Action</v>
      </c>
      <c r="D2" t="str">
        <f>Sheet1!E2</f>
        <v>Leshem Choshen, Lior Fox, Yonatan Loewenstein</v>
      </c>
      <c r="E2">
        <f>Sheet1!F2</f>
        <v>2018</v>
      </c>
      <c r="F2">
        <f>F3+Sheet1!N2</f>
        <v>34</v>
      </c>
      <c r="G2">
        <f>G3+Sheet1!O2</f>
        <v>38</v>
      </c>
      <c r="H2">
        <f>H3+Sheet1!P2</f>
        <v>38</v>
      </c>
      <c r="I2">
        <f>I3+Sheet1!Q2</f>
        <v>17</v>
      </c>
      <c r="J2">
        <f>J3+Sheet1!R2</f>
        <v>28</v>
      </c>
      <c r="K2">
        <f>K3+Sheet1!S2</f>
        <v>33</v>
      </c>
      <c r="L2">
        <f>L3+Sheet1!T2</f>
        <v>15</v>
      </c>
      <c r="M2">
        <f>M3+Sheet1!U2</f>
        <v>30</v>
      </c>
      <c r="N2">
        <f>N3+Sheet1!V2</f>
        <v>27</v>
      </c>
      <c r="O2">
        <f>O3+Sheet1!W2</f>
        <v>30</v>
      </c>
      <c r="P2">
        <f>P3+Sheet1!X2</f>
        <v>29</v>
      </c>
      <c r="Q2">
        <f>Q3+Sheet1!Y2</f>
        <v>35</v>
      </c>
    </row>
    <row r="3" spans="1:17">
      <c r="A3">
        <f>Sheet1!A3</f>
        <v>2</v>
      </c>
      <c r="B3" t="str">
        <f>Sheet1!B3</f>
        <v>NAACL-HLT 2018*</v>
      </c>
      <c r="C3" t="str">
        <f>Sheet1!C3</f>
        <v>Reference-less Measure of Faithfulness for Grammatical Error Correction</v>
      </c>
      <c r="D3" t="str">
        <f>Sheet1!E3</f>
        <v>Leshem Choshen, Omri Abend</v>
      </c>
      <c r="E3">
        <f>Sheet1!F3</f>
        <v>2018</v>
      </c>
      <c r="F3">
        <f>F4+Sheet1!N3</f>
        <v>34</v>
      </c>
      <c r="G3">
        <f>G4+Sheet1!O3</f>
        <v>38</v>
      </c>
      <c r="H3">
        <f>H4+Sheet1!P3</f>
        <v>37</v>
      </c>
      <c r="I3">
        <f>I4+Sheet1!Q3</f>
        <v>17</v>
      </c>
      <c r="J3">
        <f>J4+Sheet1!R3</f>
        <v>27</v>
      </c>
      <c r="K3">
        <f>K4+Sheet1!S3</f>
        <v>33</v>
      </c>
      <c r="L3">
        <f>L4+Sheet1!T3</f>
        <v>15</v>
      </c>
      <c r="M3">
        <f>M4+Sheet1!U3</f>
        <v>30</v>
      </c>
      <c r="N3">
        <f>N4+Sheet1!V3</f>
        <v>27</v>
      </c>
      <c r="O3">
        <f>O4+Sheet1!W3</f>
        <v>30</v>
      </c>
      <c r="P3">
        <f>P4+Sheet1!X3</f>
        <v>29</v>
      </c>
      <c r="Q3">
        <f>Q4+Sheet1!Y3</f>
        <v>35</v>
      </c>
    </row>
    <row r="4" spans="1:17">
      <c r="A4">
        <f>Sheet1!A4</f>
        <v>3</v>
      </c>
      <c r="B4" t="str">
        <f>Sheet1!B4</f>
        <v xml:space="preserve">ACL 2018 </v>
      </c>
      <c r="C4" t="str">
        <f>Sheet1!C4</f>
        <v xml:space="preserve"> Will it Blend? Weak and Manual Labeled Data in a Neural Network for Argumentation Mining</v>
      </c>
      <c r="D4" t="str">
        <f>Sheet1!E4</f>
        <v xml:space="preserve">Eyal Shnarch, Carlos Alzate, Lena Dankin, Martin Gleize, Yufang Hou, Leshem Choshen, Ranit Aharonov and Noam Slonim </v>
      </c>
      <c r="E4">
        <f>Sheet1!F4</f>
        <v>2018</v>
      </c>
      <c r="F4">
        <f>F5+Sheet1!N4</f>
        <v>33</v>
      </c>
      <c r="G4">
        <f>G5+Sheet1!O4</f>
        <v>38</v>
      </c>
      <c r="H4">
        <f>H5+Sheet1!P4</f>
        <v>36</v>
      </c>
      <c r="I4">
        <f>I5+Sheet1!Q4</f>
        <v>17</v>
      </c>
      <c r="J4">
        <f>J5+Sheet1!R4</f>
        <v>27</v>
      </c>
      <c r="K4">
        <f>K5+Sheet1!S4</f>
        <v>32</v>
      </c>
      <c r="L4">
        <f>L5+Sheet1!T4</f>
        <v>15</v>
      </c>
      <c r="M4">
        <f>M5+Sheet1!U4</f>
        <v>29</v>
      </c>
      <c r="N4">
        <f>N5+Sheet1!V4</f>
        <v>27</v>
      </c>
      <c r="O4">
        <f>O5+Sheet1!W4</f>
        <v>30</v>
      </c>
      <c r="P4">
        <f>P5+Sheet1!X4</f>
        <v>29</v>
      </c>
      <c r="Q4">
        <f>Q5+Sheet1!Y4</f>
        <v>35</v>
      </c>
    </row>
    <row r="5" spans="1:17">
      <c r="A5">
        <f>Sheet1!A5</f>
        <v>4</v>
      </c>
      <c r="B5" t="str">
        <f>Sheet1!B5</f>
        <v>ACL 2018* ​​</v>
      </c>
      <c r="C5" t="str">
        <f>Sheet1!C5</f>
        <v xml:space="preserve"> Automatic Metric Validation for Grammatical Error Correction</v>
      </c>
      <c r="D5" t="str">
        <f>Sheet1!E5</f>
        <v>Leshem Choshen, Omri Abend</v>
      </c>
      <c r="E5">
        <f>Sheet1!F5</f>
        <v>2018</v>
      </c>
      <c r="F5">
        <f>F6+Sheet1!N5</f>
        <v>33</v>
      </c>
      <c r="G5">
        <f>G6+Sheet1!O5</f>
        <v>38</v>
      </c>
      <c r="H5">
        <f>H6+Sheet1!P5</f>
        <v>35</v>
      </c>
      <c r="I5">
        <f>I6+Sheet1!Q5</f>
        <v>17</v>
      </c>
      <c r="J5">
        <f>J6+Sheet1!R5</f>
        <v>26</v>
      </c>
      <c r="K5">
        <f>K6+Sheet1!S5</f>
        <v>32</v>
      </c>
      <c r="L5">
        <f>L6+Sheet1!T5</f>
        <v>15</v>
      </c>
      <c r="M5">
        <f>M6+Sheet1!U5</f>
        <v>28</v>
      </c>
      <c r="N5">
        <f>N6+Sheet1!V5</f>
        <v>27</v>
      </c>
      <c r="O5">
        <f>O6+Sheet1!W5</f>
        <v>30</v>
      </c>
      <c r="P5">
        <f>P6+Sheet1!X5</f>
        <v>29</v>
      </c>
      <c r="Q5">
        <f>Q6+Sheet1!Y5</f>
        <v>34</v>
      </c>
    </row>
    <row r="6" spans="1:17">
      <c r="A6">
        <f>Sheet1!A6</f>
        <v>5</v>
      </c>
      <c r="B6" t="str">
        <f>Sheet1!B6</f>
        <v xml:space="preserve">ACL 2018* </v>
      </c>
      <c r="C6" t="str">
        <f>Sheet1!C6</f>
        <v>​​ Inherent Biases in Reference-based Evaluation for Grammatical Error Correction and Text Simplification</v>
      </c>
      <c r="D6" t="e">
        <f>Sheet1!#REF!</f>
        <v>#REF!</v>
      </c>
      <c r="E6">
        <f>Sheet1!F6</f>
        <v>2018</v>
      </c>
      <c r="F6">
        <f>F7+Sheet1!N6</f>
        <v>32</v>
      </c>
      <c r="G6">
        <f>G7+Sheet1!O6</f>
        <v>37</v>
      </c>
      <c r="H6">
        <f>H7+Sheet1!P6</f>
        <v>34</v>
      </c>
      <c r="I6">
        <f>I7+Sheet1!Q6</f>
        <v>17</v>
      </c>
      <c r="J6">
        <f>J7+Sheet1!R6</f>
        <v>26</v>
      </c>
      <c r="K6">
        <f>K7+Sheet1!S6</f>
        <v>31</v>
      </c>
      <c r="L6">
        <f>L7+Sheet1!T6</f>
        <v>15</v>
      </c>
      <c r="M6">
        <f>M7+Sheet1!U6</f>
        <v>27</v>
      </c>
      <c r="N6">
        <f>N7+Sheet1!V6</f>
        <v>27</v>
      </c>
      <c r="O6">
        <f>O7+Sheet1!W6</f>
        <v>29</v>
      </c>
      <c r="P6">
        <f>P7+Sheet1!X6</f>
        <v>28</v>
      </c>
      <c r="Q6">
        <f>Q7+Sheet1!Y6</f>
        <v>33</v>
      </c>
    </row>
    <row r="7" spans="1:17">
      <c r="A7">
        <f>Sheet1!A7</f>
        <v>6</v>
      </c>
      <c r="B7" t="str">
        <f>Sheet1!B7</f>
        <v xml:space="preserve">SemEval@EMNLP 2019 </v>
      </c>
      <c r="C7" t="str">
        <f>Sheet1!C7</f>
        <v xml:space="preserve"> SemEval 2019 Task 1: Cross-lingual Semantic Parsing with UCCA </v>
      </c>
      <c r="D7" t="str">
        <f>Sheet1!E7</f>
        <v>Daniel Hershcovich, Zohar Aizenbud, Leshem Choshen, Elior Sulem, Ari Rappoport, Omri Abend</v>
      </c>
      <c r="E7">
        <f>Sheet1!F7</f>
        <v>2019</v>
      </c>
      <c r="F7">
        <f>F8+Sheet1!N7</f>
        <v>32</v>
      </c>
      <c r="G7">
        <f>G8+Sheet1!O7</f>
        <v>36</v>
      </c>
      <c r="H7">
        <f>H8+Sheet1!P7</f>
        <v>34</v>
      </c>
      <c r="I7">
        <f>I8+Sheet1!Q7</f>
        <v>17</v>
      </c>
      <c r="J7">
        <f>J8+Sheet1!R7</f>
        <v>26</v>
      </c>
      <c r="K7">
        <f>K8+Sheet1!S7</f>
        <v>30</v>
      </c>
      <c r="L7">
        <f>L8+Sheet1!T7</f>
        <v>15</v>
      </c>
      <c r="M7">
        <f>M8+Sheet1!U7</f>
        <v>26</v>
      </c>
      <c r="N7">
        <f>N8+Sheet1!V7</f>
        <v>27</v>
      </c>
      <c r="O7">
        <f>O8+Sheet1!W7</f>
        <v>28</v>
      </c>
      <c r="P7">
        <f>P8+Sheet1!X7</f>
        <v>28</v>
      </c>
      <c r="Q7">
        <f>Q8+Sheet1!Y7</f>
        <v>33</v>
      </c>
    </row>
    <row r="8" spans="1:17">
      <c r="A8">
        <f>Sheet1!A8</f>
        <v>7</v>
      </c>
      <c r="B8" t="str">
        <f>Sheet1!B8</f>
        <v xml:space="preserve">ACL 2019 </v>
      </c>
      <c r="C8" t="str">
        <f>Sheet1!C8</f>
        <v xml:space="preserve"> Are You Convinced? Choosing the More Convincing Evidence with a Siamese Network </v>
      </c>
      <c r="D8" t="str">
        <f>Sheet1!E8</f>
        <v>Martin Gleize, Eyal Shnarch, Leshem Choshen, Lena Dankin, Guy Moshkowich, Ranit Aharonov, Noam Slonim</v>
      </c>
      <c r="E8">
        <f>Sheet1!F8</f>
        <v>2019</v>
      </c>
      <c r="F8">
        <f>F9+Sheet1!N8</f>
        <v>31</v>
      </c>
      <c r="G8">
        <f>G9+Sheet1!O8</f>
        <v>36</v>
      </c>
      <c r="H8">
        <f>H9+Sheet1!P8</f>
        <v>34</v>
      </c>
      <c r="I8">
        <f>I9+Sheet1!Q8</f>
        <v>16</v>
      </c>
      <c r="J8">
        <f>J9+Sheet1!R8</f>
        <v>26</v>
      </c>
      <c r="K8">
        <f>K9+Sheet1!S8</f>
        <v>29</v>
      </c>
      <c r="L8">
        <f>L9+Sheet1!T8</f>
        <v>14</v>
      </c>
      <c r="M8">
        <f>M9+Sheet1!U8</f>
        <v>25</v>
      </c>
      <c r="N8">
        <f>N9+Sheet1!V8</f>
        <v>26</v>
      </c>
      <c r="O8">
        <f>O9+Sheet1!W8</f>
        <v>27</v>
      </c>
      <c r="P8">
        <f>P9+Sheet1!X8</f>
        <v>27</v>
      </c>
      <c r="Q8">
        <f>Q9+Sheet1!Y8</f>
        <v>33</v>
      </c>
    </row>
    <row r="9" spans="1:17">
      <c r="A9">
        <f>Sheet1!A9</f>
        <v>8</v>
      </c>
      <c r="B9" t="str">
        <f>Sheet1!B9</f>
        <v xml:space="preserve">ACL 2019* </v>
      </c>
      <c r="C9" t="str">
        <f>Sheet1!C9</f>
        <v xml:space="preserve"> The Language of Legal and Illegal Activity on the Darknet </v>
      </c>
      <c r="D9" t="str">
        <f>Sheet1!E9</f>
        <v>Leshem Choshen, Dan Eldad, Daniel Hershcovich, Elior Sulem, Omri Abend</v>
      </c>
      <c r="E9">
        <f>Sheet1!F9</f>
        <v>2019</v>
      </c>
      <c r="F9">
        <f>F10+Sheet1!N9</f>
        <v>31</v>
      </c>
      <c r="G9">
        <f>G10+Sheet1!O9</f>
        <v>36</v>
      </c>
      <c r="H9">
        <f>H10+Sheet1!P9</f>
        <v>33</v>
      </c>
      <c r="I9">
        <f>I10+Sheet1!Q9</f>
        <v>16</v>
      </c>
      <c r="J9">
        <f>J10+Sheet1!R9</f>
        <v>25</v>
      </c>
      <c r="K9">
        <f>K10+Sheet1!S9</f>
        <v>29</v>
      </c>
      <c r="L9">
        <f>L10+Sheet1!T9</f>
        <v>14</v>
      </c>
      <c r="M9">
        <f>M10+Sheet1!U9</f>
        <v>24</v>
      </c>
      <c r="N9">
        <f>N10+Sheet1!V9</f>
        <v>26</v>
      </c>
      <c r="O9">
        <f>O10+Sheet1!W9</f>
        <v>27</v>
      </c>
      <c r="P9">
        <f>P10+Sheet1!X9</f>
        <v>27</v>
      </c>
      <c r="Q9">
        <f>Q10+Sheet1!Y9</f>
        <v>33</v>
      </c>
    </row>
    <row r="10" spans="1:17">
      <c r="A10">
        <f>Sheet1!A10</f>
        <v>9</v>
      </c>
      <c r="B10" t="str">
        <f>Sheet1!B10</f>
        <v xml:space="preserve">BEA@ACL 2019* </v>
      </c>
      <c r="C10" t="str">
        <f>Sheet1!C10</f>
        <v xml:space="preserve"> Learning to combine Grammatical Error Corrections </v>
      </c>
      <c r="D10" t="str">
        <f>Sheet1!E10</f>
        <v>Yoav Kantor, Yoav Katz, Leshem Choshen, Edo Cohen-Karlik, Naftali Liberman, Assaf Toledo, Amir Menczel, Noam Slonim</v>
      </c>
      <c r="E10">
        <f>Sheet1!F10</f>
        <v>2019</v>
      </c>
      <c r="F10">
        <f>F11+Sheet1!N10</f>
        <v>31</v>
      </c>
      <c r="G10">
        <f>G11+Sheet1!O10</f>
        <v>35</v>
      </c>
      <c r="H10">
        <f>H11+Sheet1!P10</f>
        <v>33</v>
      </c>
      <c r="I10">
        <f>I11+Sheet1!Q10</f>
        <v>16</v>
      </c>
      <c r="J10">
        <f>J11+Sheet1!R10</f>
        <v>25</v>
      </c>
      <c r="K10">
        <f>K11+Sheet1!S10</f>
        <v>29</v>
      </c>
      <c r="L10">
        <f>L11+Sheet1!T10</f>
        <v>13</v>
      </c>
      <c r="M10">
        <f>M11+Sheet1!U10</f>
        <v>23</v>
      </c>
      <c r="N10">
        <f>N11+Sheet1!V10</f>
        <v>26</v>
      </c>
      <c r="O10">
        <f>O11+Sheet1!W10</f>
        <v>26</v>
      </c>
      <c r="P10">
        <f>P11+Sheet1!X10</f>
        <v>27</v>
      </c>
      <c r="Q10">
        <f>Q11+Sheet1!Y10</f>
        <v>33</v>
      </c>
    </row>
    <row r="11" spans="1:17">
      <c r="A11">
        <f>Sheet1!A11</f>
        <v>10</v>
      </c>
      <c r="B11" t="str">
        <f>Sheet1!B11</f>
        <v xml:space="preserve">CoNLL 2019* </v>
      </c>
      <c r="C11" t="str">
        <f>Sheet1!C11</f>
        <v xml:space="preserve"> Automatically Extracting Challenge Sets for Non-local Phenomena in Neural Machine Translation </v>
      </c>
      <c r="D11" t="str">
        <f>Sheet1!E11</f>
        <v>Leshem Choshen, Omri Abend</v>
      </c>
      <c r="E11">
        <f>Sheet1!F11</f>
        <v>2019</v>
      </c>
      <c r="F11">
        <f>F12+Sheet1!N11</f>
        <v>30</v>
      </c>
      <c r="G11">
        <f>G12+Sheet1!O11</f>
        <v>35</v>
      </c>
      <c r="H11">
        <f>H12+Sheet1!P11</f>
        <v>32</v>
      </c>
      <c r="I11">
        <f>I12+Sheet1!Q11</f>
        <v>16</v>
      </c>
      <c r="J11">
        <f>J12+Sheet1!R11</f>
        <v>24</v>
      </c>
      <c r="K11">
        <f>K12+Sheet1!S11</f>
        <v>29</v>
      </c>
      <c r="L11">
        <f>L12+Sheet1!T11</f>
        <v>12</v>
      </c>
      <c r="M11">
        <f>M12+Sheet1!U11</f>
        <v>22</v>
      </c>
      <c r="N11">
        <f>N12+Sheet1!V11</f>
        <v>26</v>
      </c>
      <c r="O11">
        <f>O12+Sheet1!W11</f>
        <v>25</v>
      </c>
      <c r="P11">
        <f>P12+Sheet1!X11</f>
        <v>26</v>
      </c>
      <c r="Q11">
        <f>Q12+Sheet1!Y11</f>
        <v>32</v>
      </c>
    </row>
    <row r="12" spans="1:17">
      <c r="A12">
        <f>Sheet1!A12</f>
        <v>11</v>
      </c>
      <c r="B12" t="str">
        <f>Sheet1!B12</f>
        <v xml:space="preserve">AAAI 2020 </v>
      </c>
      <c r="C12" t="str">
        <f>Sheet1!C12</f>
        <v xml:space="preserve"> Corpus wide argument mining- a working solution </v>
      </c>
      <c r="D12" t="str">
        <f>Sheet1!E12</f>
        <v>Liat Ein-Dor, Eyal Shnarch, Lena Dankin, Alon Halfon, Benjamin Sznajder, Ariel Gera, Carlos Alzate, Martin Gleize, Leshem Choshen, Yufang Hou, Yonatan Bilu, Ranit Aharonov, Noam Slonim</v>
      </c>
      <c r="E12">
        <f>Sheet1!F12</f>
        <v>2020</v>
      </c>
      <c r="F12">
        <f>F13+Sheet1!N12</f>
        <v>29</v>
      </c>
      <c r="G12">
        <f>G13+Sheet1!O12</f>
        <v>34</v>
      </c>
      <c r="H12">
        <f>H13+Sheet1!P12</f>
        <v>31</v>
      </c>
      <c r="I12">
        <f>I13+Sheet1!Q12</f>
        <v>15</v>
      </c>
      <c r="J12">
        <f>J13+Sheet1!R12</f>
        <v>24</v>
      </c>
      <c r="K12">
        <f>K13+Sheet1!S12</f>
        <v>28</v>
      </c>
      <c r="L12">
        <f>L13+Sheet1!T12</f>
        <v>12</v>
      </c>
      <c r="M12">
        <f>M13+Sheet1!U12</f>
        <v>21</v>
      </c>
      <c r="N12">
        <f>N13+Sheet1!V12</f>
        <v>26</v>
      </c>
      <c r="O12">
        <f>O13+Sheet1!W12</f>
        <v>24</v>
      </c>
      <c r="P12">
        <f>P13+Sheet1!X12</f>
        <v>25</v>
      </c>
      <c r="Q12">
        <f>Q13+Sheet1!Y12</f>
        <v>31</v>
      </c>
    </row>
    <row r="13" spans="1:17">
      <c r="A13">
        <f>Sheet1!A13</f>
        <v>12</v>
      </c>
      <c r="B13" t="str">
        <f>Sheet1!B13</f>
        <v xml:space="preserve">ICLR 2020* </v>
      </c>
      <c r="C13" t="str">
        <f>Sheet1!C13</f>
        <v xml:space="preserve"> On the Weaknesses of Reinforcement Learning for Neural Machine Translation </v>
      </c>
      <c r="D13" t="str">
        <f>Sheet1!E13</f>
        <v>Leshem Choshen, Lior Fox, Zohar Aizenbud, Omri Abend </v>
      </c>
      <c r="E13">
        <f>Sheet1!F13</f>
        <v>2020</v>
      </c>
      <c r="F13">
        <f>F14+Sheet1!N13</f>
        <v>28</v>
      </c>
      <c r="G13">
        <f>G14+Sheet1!O13</f>
        <v>34</v>
      </c>
      <c r="H13">
        <f>H14+Sheet1!P13</f>
        <v>30</v>
      </c>
      <c r="I13">
        <f>I14+Sheet1!Q13</f>
        <v>14</v>
      </c>
      <c r="J13">
        <f>J14+Sheet1!R13</f>
        <v>23</v>
      </c>
      <c r="K13">
        <f>K14+Sheet1!S13</f>
        <v>27</v>
      </c>
      <c r="L13">
        <f>L14+Sheet1!T13</f>
        <v>12</v>
      </c>
      <c r="M13">
        <f>M14+Sheet1!U13</f>
        <v>20</v>
      </c>
      <c r="N13">
        <f>N14+Sheet1!V13</f>
        <v>26</v>
      </c>
      <c r="O13">
        <f>O14+Sheet1!W13</f>
        <v>24</v>
      </c>
      <c r="P13">
        <f>P14+Sheet1!X13</f>
        <v>25</v>
      </c>
      <c r="Q13">
        <f>Q14+Sheet1!Y13</f>
        <v>31</v>
      </c>
    </row>
    <row r="14" spans="1:17">
      <c r="A14">
        <f>Sheet1!A14</f>
        <v>13</v>
      </c>
      <c r="B14" t="str">
        <f>Sheet1!B14</f>
        <v xml:space="preserve">ICML 2020 </v>
      </c>
      <c r="C14" t="str">
        <f>Sheet1!C14</f>
        <v xml:space="preserve"> Let's Agree to Agree: Neural Networks Share Classification Order on Real Datasets </v>
      </c>
      <c r="D14" t="str">
        <f>Sheet1!E14</f>
        <v>Guy Hacohen, Leshem Choshen, Dafna Weinshall</v>
      </c>
      <c r="E14">
        <f>Sheet1!F14</f>
        <v>2020</v>
      </c>
      <c r="F14">
        <f>F15+Sheet1!N14</f>
        <v>28</v>
      </c>
      <c r="G14">
        <f>G15+Sheet1!O14</f>
        <v>33</v>
      </c>
      <c r="H14">
        <f>H15+Sheet1!P14</f>
        <v>30</v>
      </c>
      <c r="I14">
        <f>I15+Sheet1!Q14</f>
        <v>14</v>
      </c>
      <c r="J14">
        <f>J15+Sheet1!R14</f>
        <v>22</v>
      </c>
      <c r="K14">
        <f>K15+Sheet1!S14</f>
        <v>26</v>
      </c>
      <c r="L14">
        <f>L15+Sheet1!T14</f>
        <v>12</v>
      </c>
      <c r="M14">
        <f>M15+Sheet1!U14</f>
        <v>19</v>
      </c>
      <c r="N14">
        <f>N15+Sheet1!V14</f>
        <v>26</v>
      </c>
      <c r="O14">
        <f>O15+Sheet1!W14</f>
        <v>23</v>
      </c>
      <c r="P14">
        <f>P15+Sheet1!X14</f>
        <v>25</v>
      </c>
      <c r="Q14">
        <f>Q15+Sheet1!Y14</f>
        <v>31</v>
      </c>
    </row>
    <row r="15" spans="1:17">
      <c r="A15">
        <f>Sheet1!A15</f>
        <v>14</v>
      </c>
      <c r="B15" t="str">
        <f>Sheet1!B15</f>
        <v xml:space="preserve">EMNLP 2020 </v>
      </c>
      <c r="C15" t="str">
        <f>Sheet1!C15</f>
        <v xml:space="preserve"> Active Learning for BERT: An Empirical Study </v>
      </c>
      <c r="D15" t="str">
        <f>Sheet1!E15</f>
        <v>Liat Ein-Dor, Alon Halfon, Ariel Gera, Eyal Shnarch, Lena Dankin, Leshem Choshen, Marina Danilevsky, Ranit Aharonov, Yoav Katz and Noam Slonim</v>
      </c>
      <c r="E15">
        <f>Sheet1!F15</f>
        <v>2020</v>
      </c>
      <c r="F15">
        <f>F16+Sheet1!N15</f>
        <v>28</v>
      </c>
      <c r="G15">
        <f>G16+Sheet1!O15</f>
        <v>32</v>
      </c>
      <c r="H15">
        <f>H16+Sheet1!P15</f>
        <v>30</v>
      </c>
      <c r="I15">
        <f>I16+Sheet1!Q15</f>
        <v>14</v>
      </c>
      <c r="J15">
        <f>J16+Sheet1!R15</f>
        <v>22</v>
      </c>
      <c r="K15">
        <f>K16+Sheet1!S15</f>
        <v>26</v>
      </c>
      <c r="L15">
        <f>L16+Sheet1!T15</f>
        <v>12</v>
      </c>
      <c r="M15">
        <f>M16+Sheet1!U15</f>
        <v>19</v>
      </c>
      <c r="N15">
        <f>N16+Sheet1!V15</f>
        <v>26</v>
      </c>
      <c r="O15">
        <f>O16+Sheet1!W15</f>
        <v>23</v>
      </c>
      <c r="P15">
        <f>P16+Sheet1!X15</f>
        <v>25</v>
      </c>
      <c r="Q15">
        <f>Q16+Sheet1!Y15</f>
        <v>31</v>
      </c>
    </row>
    <row r="16" spans="1:17">
      <c r="A16">
        <f>Sheet1!A16</f>
        <v>15</v>
      </c>
      <c r="B16" t="str">
        <f>Sheet1!B16</f>
        <v>EMNLP 2020* findings</v>
      </c>
      <c r="C16" t="str">
        <f>Sheet1!C16</f>
        <v xml:space="preserve"> Unsupervised Expressive Rules Provide Explainability and Assist Human Experts Grasping New Domains </v>
      </c>
      <c r="D16" t="str">
        <f>Sheet1!E16</f>
        <v>Eyal Shnarch, Leshem Choshen, Guy Moshkowich, Ranit Aharonov, Noam Slonim</v>
      </c>
      <c r="E16">
        <f>Sheet1!F16</f>
        <v>2020</v>
      </c>
      <c r="F16">
        <f>F17+Sheet1!N16</f>
        <v>27</v>
      </c>
      <c r="G16">
        <f>G17+Sheet1!O16</f>
        <v>32</v>
      </c>
      <c r="H16">
        <f>H17+Sheet1!P16</f>
        <v>30</v>
      </c>
      <c r="I16">
        <f>I17+Sheet1!Q16</f>
        <v>14</v>
      </c>
      <c r="J16">
        <f>J17+Sheet1!R16</f>
        <v>21</v>
      </c>
      <c r="K16">
        <f>K17+Sheet1!S16</f>
        <v>25</v>
      </c>
      <c r="L16">
        <f>L17+Sheet1!T16</f>
        <v>12</v>
      </c>
      <c r="M16">
        <f>M17+Sheet1!U16</f>
        <v>19</v>
      </c>
      <c r="N16">
        <f>N17+Sheet1!V16</f>
        <v>26</v>
      </c>
      <c r="O16">
        <f>O17+Sheet1!W16</f>
        <v>22</v>
      </c>
      <c r="P16">
        <f>P17+Sheet1!X16</f>
        <v>25</v>
      </c>
      <c r="Q16">
        <f>Q17+Sheet1!Y16</f>
        <v>30</v>
      </c>
    </row>
    <row r="17" spans="1:17">
      <c r="A17">
        <f>Sheet1!A17</f>
        <v>16</v>
      </c>
      <c r="B17" t="str">
        <f>Sheet1!B17</f>
        <v xml:space="preserve">CONLL 2020* </v>
      </c>
      <c r="C17" t="str">
        <f>Sheet1!C17</f>
        <v xml:space="preserve"> Classifying Syntactic Errors in Learner Language </v>
      </c>
      <c r="D17" t="str">
        <f>Sheet1!E17</f>
        <v>Leshem Choshen, Dmitry Nikolaev, Yevgeni Berzak, Omri Abend</v>
      </c>
      <c r="E17">
        <f>Sheet1!F17</f>
        <v>2020</v>
      </c>
      <c r="F17">
        <f>F18+Sheet1!N17</f>
        <v>26</v>
      </c>
      <c r="G17">
        <f>G18+Sheet1!O17</f>
        <v>31</v>
      </c>
      <c r="H17">
        <f>H18+Sheet1!P17</f>
        <v>29</v>
      </c>
      <c r="I17">
        <f>I18+Sheet1!Q17</f>
        <v>14</v>
      </c>
      <c r="J17">
        <f>J18+Sheet1!R17</f>
        <v>20</v>
      </c>
      <c r="K17">
        <f>K18+Sheet1!S17</f>
        <v>24</v>
      </c>
      <c r="L17">
        <f>L18+Sheet1!T17</f>
        <v>12</v>
      </c>
      <c r="M17">
        <f>M18+Sheet1!U17</f>
        <v>19</v>
      </c>
      <c r="N17">
        <f>N18+Sheet1!V17</f>
        <v>25</v>
      </c>
      <c r="O17">
        <f>O18+Sheet1!W17</f>
        <v>22</v>
      </c>
      <c r="P17">
        <f>P18+Sheet1!X17</f>
        <v>24</v>
      </c>
      <c r="Q17">
        <f>Q18+Sheet1!Y17</f>
        <v>29</v>
      </c>
    </row>
    <row r="18" spans="1:17">
      <c r="A18">
        <f>Sheet1!A18</f>
        <v>17</v>
      </c>
      <c r="B18" t="str">
        <f>Sheet1!B18</f>
        <v xml:space="preserve">Nature 2021 (cover) </v>
      </c>
      <c r="C18" t="str">
        <f>Sheet1!C18</f>
        <v xml:space="preserve"> Project Debater  an Autonomous Debating System</v>
      </c>
      <c r="D18" t="str">
        <f>Sheet1!E18</f>
        <v xml:space="preserve"> 5th author, full list of authors omitted due to length restrictions (55 authors)</v>
      </c>
      <c r="E18">
        <f>Sheet1!F18</f>
        <v>2021</v>
      </c>
      <c r="F18">
        <f>F19+Sheet1!N18</f>
        <v>25</v>
      </c>
      <c r="G18">
        <f>G19+Sheet1!O18</f>
        <v>30</v>
      </c>
      <c r="H18">
        <f>H19+Sheet1!P18</f>
        <v>28</v>
      </c>
      <c r="I18">
        <f>I19+Sheet1!Q18</f>
        <v>14</v>
      </c>
      <c r="J18">
        <f>J19+Sheet1!R18</f>
        <v>20</v>
      </c>
      <c r="K18">
        <f>K19+Sheet1!S18</f>
        <v>23</v>
      </c>
      <c r="L18">
        <f>L19+Sheet1!T18</f>
        <v>12</v>
      </c>
      <c r="M18">
        <f>M19+Sheet1!U18</f>
        <v>18</v>
      </c>
      <c r="N18">
        <f>N19+Sheet1!V18</f>
        <v>25</v>
      </c>
      <c r="O18">
        <f>O19+Sheet1!W18</f>
        <v>22</v>
      </c>
      <c r="P18">
        <f>P19+Sheet1!X18</f>
        <v>24</v>
      </c>
      <c r="Q18">
        <f>Q19+Sheet1!Y18</f>
        <v>29</v>
      </c>
    </row>
    <row r="19" spans="1:17">
      <c r="A19">
        <f>Sheet1!A19</f>
        <v>18</v>
      </c>
      <c r="B19" t="str">
        <f>Sheet1!B19</f>
        <v xml:space="preserve">NAACL2021 </v>
      </c>
      <c r="C19" t="str">
        <f>Sheet1!C19</f>
        <v xml:space="preserve"> Mediators in Determining what Processing BERT Performs First</v>
      </c>
      <c r="D19" t="str">
        <f>Sheet1!E19</f>
        <v xml:space="preserve"> Aviv Solobodkin, Leshem Choshen, Omri Abend</v>
      </c>
      <c r="E19">
        <f>Sheet1!F19</f>
        <v>2021</v>
      </c>
      <c r="F19">
        <f>F20+Sheet1!N19</f>
        <v>24</v>
      </c>
      <c r="G19">
        <f>G20+Sheet1!O19</f>
        <v>30</v>
      </c>
      <c r="H19">
        <f>H20+Sheet1!P19</f>
        <v>27</v>
      </c>
      <c r="I19">
        <f>I20+Sheet1!Q19</f>
        <v>13</v>
      </c>
      <c r="J19">
        <f>J20+Sheet1!R19</f>
        <v>19</v>
      </c>
      <c r="K19">
        <f>K20+Sheet1!S19</f>
        <v>23</v>
      </c>
      <c r="L19">
        <f>L20+Sheet1!T19</f>
        <v>12</v>
      </c>
      <c r="M19">
        <f>M20+Sheet1!U19</f>
        <v>17</v>
      </c>
      <c r="N19">
        <f>N20+Sheet1!V19</f>
        <v>25</v>
      </c>
      <c r="O19">
        <f>O20+Sheet1!W19</f>
        <v>22</v>
      </c>
      <c r="P19">
        <f>P20+Sheet1!X19</f>
        <v>24</v>
      </c>
      <c r="Q19">
        <f>Q20+Sheet1!Y19</f>
        <v>29</v>
      </c>
    </row>
    <row r="20" spans="1:17">
      <c r="A20">
        <f>Sheet1!A20</f>
        <v>19</v>
      </c>
      <c r="B20" t="str">
        <f>Sheet1!B20</f>
        <v xml:space="preserve">ArXiv* (Technical report) </v>
      </c>
      <c r="C20" t="str">
        <f>Sheet1!C20</f>
        <v xml:space="preserve"> SERRANT: a syntactic classifier for English Grammatical Error Types</v>
      </c>
      <c r="D20" t="str">
        <f>Sheet1!E20</f>
        <v xml:space="preserve"> Leshem Choshen, Matanel Orenm Dmitry Nikolaev, Omri Abend</v>
      </c>
      <c r="E20">
        <f>Sheet1!F20</f>
        <v>2021</v>
      </c>
      <c r="F20">
        <f>F21+Sheet1!N20</f>
        <v>24</v>
      </c>
      <c r="G20">
        <f>G21+Sheet1!O20</f>
        <v>29</v>
      </c>
      <c r="H20">
        <f>H21+Sheet1!P20</f>
        <v>27</v>
      </c>
      <c r="I20">
        <f>I21+Sheet1!Q20</f>
        <v>13</v>
      </c>
      <c r="J20">
        <f>J21+Sheet1!R20</f>
        <v>19</v>
      </c>
      <c r="K20">
        <f>K21+Sheet1!S20</f>
        <v>23</v>
      </c>
      <c r="L20">
        <f>L21+Sheet1!T20</f>
        <v>12</v>
      </c>
      <c r="M20">
        <f>M21+Sheet1!U20</f>
        <v>17</v>
      </c>
      <c r="N20">
        <f>N21+Sheet1!V20</f>
        <v>25</v>
      </c>
      <c r="O20">
        <f>O21+Sheet1!W20</f>
        <v>21</v>
      </c>
      <c r="P20">
        <f>P21+Sheet1!X20</f>
        <v>24</v>
      </c>
      <c r="Q20">
        <f>Q21+Sheet1!Y20</f>
        <v>29</v>
      </c>
    </row>
    <row r="21" spans="1:17">
      <c r="A21">
        <f>Sheet1!A21</f>
        <v>20</v>
      </c>
      <c r="B21" t="str">
        <f>Sheet1!B21</f>
        <v xml:space="preserve">EMNLP2021 </v>
      </c>
      <c r="C21" t="str">
        <f>Sheet1!C21</f>
        <v xml:space="preserve"> Q2: Evaluating Factual Consistency in Knowledge-Grounded Dialogues via Question Generation and Question Answering</v>
      </c>
      <c r="D21" t="str">
        <f>Sheet1!E21</f>
        <v xml:space="preserve"> Or Honnovich, Leshem Choshen, Roee Aharoni, Idan Szpector, Omri Abend †</v>
      </c>
      <c r="E21">
        <f>Sheet1!F21</f>
        <v>2021</v>
      </c>
      <c r="F21">
        <f>F22+Sheet1!N21</f>
        <v>23</v>
      </c>
      <c r="G21">
        <f>G22+Sheet1!O21</f>
        <v>28</v>
      </c>
      <c r="H21">
        <f>H22+Sheet1!P21</f>
        <v>26</v>
      </c>
      <c r="I21">
        <f>I22+Sheet1!Q21</f>
        <v>13</v>
      </c>
      <c r="J21">
        <f>J22+Sheet1!R21</f>
        <v>19</v>
      </c>
      <c r="K21">
        <f>K22+Sheet1!S21</f>
        <v>22</v>
      </c>
      <c r="L21">
        <f>L22+Sheet1!T21</f>
        <v>12</v>
      </c>
      <c r="M21">
        <f>M22+Sheet1!U21</f>
        <v>17</v>
      </c>
      <c r="N21">
        <f>N22+Sheet1!V21</f>
        <v>25</v>
      </c>
      <c r="O21">
        <f>O22+Sheet1!W21</f>
        <v>20</v>
      </c>
      <c r="P21">
        <f>P22+Sheet1!X21</f>
        <v>23</v>
      </c>
      <c r="Q21">
        <f>Q22+Sheet1!Y21</f>
        <v>29</v>
      </c>
    </row>
    <row r="22" spans="1:17">
      <c r="A22">
        <f>Sheet1!A22</f>
        <v>21</v>
      </c>
      <c r="B22" t="str">
        <f>Sheet1!B22</f>
        <v xml:space="preserve">ArXiv </v>
      </c>
      <c r="C22" t="str">
        <f>Sheet1!C22</f>
        <v xml:space="preserve"> Part of speech and universal dependency effects on english arabic machine translation</v>
      </c>
      <c r="D22" t="str">
        <f>Sheet1!E22</f>
        <v xml:space="preserve"> Ofek Rafaeli, Omri Abend, Leshem Choshen, Dmitry Nikolaev</v>
      </c>
      <c r="E22">
        <f>Sheet1!F22</f>
        <v>2022</v>
      </c>
      <c r="F22">
        <f>F23+Sheet1!N22</f>
        <v>22</v>
      </c>
      <c r="G22">
        <f>G23+Sheet1!O22</f>
        <v>28</v>
      </c>
      <c r="H22">
        <f>H23+Sheet1!P22</f>
        <v>25</v>
      </c>
      <c r="I22">
        <f>I23+Sheet1!Q22</f>
        <v>13</v>
      </c>
      <c r="J22">
        <f>J23+Sheet1!R22</f>
        <v>19</v>
      </c>
      <c r="K22">
        <f>K23+Sheet1!S22</f>
        <v>21</v>
      </c>
      <c r="L22">
        <f>L23+Sheet1!T22</f>
        <v>12</v>
      </c>
      <c r="M22">
        <f>M23+Sheet1!U22</f>
        <v>17</v>
      </c>
      <c r="N22">
        <f>N23+Sheet1!V22</f>
        <v>25</v>
      </c>
      <c r="O22">
        <f>O23+Sheet1!W22</f>
        <v>20</v>
      </c>
      <c r="P22">
        <f>P23+Sheet1!X22</f>
        <v>23</v>
      </c>
      <c r="Q22">
        <f>Q23+Sheet1!Y22</f>
        <v>29</v>
      </c>
    </row>
    <row r="23" spans="1:17">
      <c r="A23">
        <f>Sheet1!A23</f>
        <v>22</v>
      </c>
      <c r="B23" t="str">
        <f>Sheet1!B23</f>
        <v xml:space="preserve">ArXiv </v>
      </c>
      <c r="C23" t="str">
        <f>Sheet1!C23</f>
        <v xml:space="preserve"> ComSum: Commit Messages Summarization and Meaning Preservation</v>
      </c>
      <c r="D23" t="str">
        <f>Sheet1!E23</f>
        <v xml:space="preserve"> Leshem Choshen &amp; Idan Amit</v>
      </c>
      <c r="E23">
        <f>Sheet1!F23</f>
        <v>2022</v>
      </c>
      <c r="F23">
        <f>F24+Sheet1!N23</f>
        <v>22</v>
      </c>
      <c r="G23">
        <f>G24+Sheet1!O23</f>
        <v>28</v>
      </c>
      <c r="H23">
        <f>H24+Sheet1!P23</f>
        <v>25</v>
      </c>
      <c r="I23">
        <f>I24+Sheet1!Q23</f>
        <v>13</v>
      </c>
      <c r="J23">
        <f>J24+Sheet1!R23</f>
        <v>19</v>
      </c>
      <c r="K23">
        <f>K24+Sheet1!S23</f>
        <v>20</v>
      </c>
      <c r="L23">
        <f>L24+Sheet1!T23</f>
        <v>12</v>
      </c>
      <c r="M23">
        <f>M24+Sheet1!U23</f>
        <v>16</v>
      </c>
      <c r="N23">
        <f>N24+Sheet1!V23</f>
        <v>25</v>
      </c>
      <c r="O23">
        <f>O24+Sheet1!W23</f>
        <v>20</v>
      </c>
      <c r="P23">
        <f>P24+Sheet1!X23</f>
        <v>23</v>
      </c>
      <c r="Q23">
        <f>Q24+Sheet1!Y23</f>
        <v>29</v>
      </c>
    </row>
    <row r="24" spans="1:17">
      <c r="A24">
        <f>Sheet1!A24</f>
        <v>23</v>
      </c>
      <c r="B24" t="str">
        <f>Sheet1!B24</f>
        <v xml:space="preserve">ArXiv* </v>
      </c>
      <c r="C24" t="str">
        <f>Sheet1!C24</f>
        <v xml:space="preserve"> Fusing finetuned models for better pretraining</v>
      </c>
      <c r="D24" t="str">
        <f>Sheet1!E24</f>
        <v xml:space="preserve"> Leshem Choshen, Elad Venezian, Noam Slonim, Yoav Katz</v>
      </c>
      <c r="E24">
        <f>Sheet1!F24</f>
        <v>2022</v>
      </c>
      <c r="F24">
        <f>F25+Sheet1!N24</f>
        <v>21</v>
      </c>
      <c r="G24">
        <f>G25+Sheet1!O24</f>
        <v>28</v>
      </c>
      <c r="H24">
        <f>H25+Sheet1!P24</f>
        <v>25</v>
      </c>
      <c r="I24">
        <f>I25+Sheet1!Q24</f>
        <v>12</v>
      </c>
      <c r="J24">
        <f>J25+Sheet1!R24</f>
        <v>19</v>
      </c>
      <c r="K24">
        <f>K25+Sheet1!S24</f>
        <v>20</v>
      </c>
      <c r="L24">
        <f>L25+Sheet1!T24</f>
        <v>12</v>
      </c>
      <c r="M24">
        <f>M25+Sheet1!U24</f>
        <v>16</v>
      </c>
      <c r="N24">
        <f>N25+Sheet1!V24</f>
        <v>24</v>
      </c>
      <c r="O24">
        <f>O25+Sheet1!W24</f>
        <v>20</v>
      </c>
      <c r="P24">
        <f>P25+Sheet1!X24</f>
        <v>23</v>
      </c>
      <c r="Q24">
        <f>Q25+Sheet1!Y24</f>
        <v>29</v>
      </c>
    </row>
    <row r="25" spans="1:17">
      <c r="A25">
        <f>Sheet1!A25</f>
        <v>24</v>
      </c>
      <c r="B25" t="str">
        <f>Sheet1!B25</f>
        <v>LREC2022</v>
      </c>
      <c r="C25" t="str">
        <f>Sheet1!C25</f>
        <v xml:space="preserve"> GrASP: A Library for Extracting and Exploring Human-Interpretable Textual Patterns</v>
      </c>
      <c r="D25" t="str">
        <f>Sheet1!E25</f>
        <v xml:space="preserve"> Piyawat Lertvittayakumjorn, Leshem Choshen, Eyal Shnarch, Francesca Toni</v>
      </c>
      <c r="E25">
        <f>Sheet1!F25</f>
        <v>2022</v>
      </c>
      <c r="F25">
        <f>F26+Sheet1!N25</f>
        <v>21</v>
      </c>
      <c r="G25">
        <f>G26+Sheet1!O25</f>
        <v>27</v>
      </c>
      <c r="H25">
        <f>H26+Sheet1!P25</f>
        <v>24</v>
      </c>
      <c r="I25">
        <f>I26+Sheet1!Q25</f>
        <v>12</v>
      </c>
      <c r="J25">
        <f>J26+Sheet1!R25</f>
        <v>18</v>
      </c>
      <c r="K25">
        <f>K26+Sheet1!S25</f>
        <v>20</v>
      </c>
      <c r="L25">
        <f>L26+Sheet1!T25</f>
        <v>12</v>
      </c>
      <c r="M25">
        <f>M26+Sheet1!U25</f>
        <v>16</v>
      </c>
      <c r="N25">
        <f>N26+Sheet1!V25</f>
        <v>23</v>
      </c>
      <c r="O25">
        <f>O26+Sheet1!W25</f>
        <v>19</v>
      </c>
      <c r="P25">
        <f>P26+Sheet1!X25</f>
        <v>22</v>
      </c>
      <c r="Q25">
        <f>Q26+Sheet1!Y25</f>
        <v>28</v>
      </c>
    </row>
    <row r="26" spans="1:17">
      <c r="A26">
        <f>Sheet1!A26</f>
        <v>25</v>
      </c>
      <c r="B26" t="str">
        <f>Sheet1!B26</f>
        <v xml:space="preserve">SEM </v>
      </c>
      <c r="C26" t="str">
        <f>Sheet1!C26</f>
        <v xml:space="preserve"> Semantics-aware Attention Improves Neural Machine Translation</v>
      </c>
      <c r="D26" t="str">
        <f>Sheet1!E26</f>
        <v xml:space="preserve"> Aviv Slobodkin, Leshem Choshen, Omri Abend</v>
      </c>
      <c r="E26">
        <f>Sheet1!F26</f>
        <v>2023</v>
      </c>
      <c r="F26">
        <f>F27+Sheet1!N26</f>
        <v>20</v>
      </c>
      <c r="G26">
        <f>G27+Sheet1!O26</f>
        <v>26</v>
      </c>
      <c r="H26">
        <f>H27+Sheet1!P26</f>
        <v>23</v>
      </c>
      <c r="I26">
        <f>I27+Sheet1!Q26</f>
        <v>12</v>
      </c>
      <c r="J26">
        <f>J27+Sheet1!R26</f>
        <v>18</v>
      </c>
      <c r="K26">
        <f>K27+Sheet1!S26</f>
        <v>19</v>
      </c>
      <c r="L26">
        <f>L27+Sheet1!T26</f>
        <v>12</v>
      </c>
      <c r="M26">
        <f>M27+Sheet1!U26</f>
        <v>16</v>
      </c>
      <c r="N26">
        <f>N27+Sheet1!V26</f>
        <v>22</v>
      </c>
      <c r="O26">
        <f>O27+Sheet1!W26</f>
        <v>19</v>
      </c>
      <c r="P26">
        <f>P27+Sheet1!X26</f>
        <v>21</v>
      </c>
      <c r="Q26">
        <f>Q27+Sheet1!Y26</f>
        <v>27</v>
      </c>
    </row>
    <row r="27" spans="1:17">
      <c r="A27">
        <f>Sheet1!A27</f>
        <v>26</v>
      </c>
      <c r="B27" t="str">
        <f>Sheet1!B27</f>
        <v xml:space="preserve">Arxiv* </v>
      </c>
      <c r="C27" t="str">
        <f>Sheet1!C27</f>
        <v xml:space="preserve"> Some Grammatical Errors are Frequent, Others are Important</v>
      </c>
      <c r="D27" t="str">
        <f>Sheet1!E27</f>
        <v xml:space="preserve"> Leshem Choshen, Ofir Shifman and Omri Abend</v>
      </c>
      <c r="E27">
        <f>Sheet1!F27</f>
        <v>2023</v>
      </c>
      <c r="F27">
        <f>F28+Sheet1!N27</f>
        <v>20</v>
      </c>
      <c r="G27">
        <f>G28+Sheet1!O27</f>
        <v>25</v>
      </c>
      <c r="H27">
        <f>H28+Sheet1!P27</f>
        <v>22</v>
      </c>
      <c r="I27">
        <f>I28+Sheet1!Q27</f>
        <v>12</v>
      </c>
      <c r="J27">
        <f>J28+Sheet1!R27</f>
        <v>17</v>
      </c>
      <c r="K27">
        <f>K28+Sheet1!S27</f>
        <v>19</v>
      </c>
      <c r="L27">
        <f>L28+Sheet1!T27</f>
        <v>12</v>
      </c>
      <c r="M27">
        <f>M28+Sheet1!U27</f>
        <v>15</v>
      </c>
      <c r="N27">
        <f>N28+Sheet1!V27</f>
        <v>22</v>
      </c>
      <c r="O27">
        <f>O28+Sheet1!W27</f>
        <v>19</v>
      </c>
      <c r="P27">
        <f>P28+Sheet1!X27</f>
        <v>21</v>
      </c>
      <c r="Q27">
        <f>Q28+Sheet1!Y27</f>
        <v>26</v>
      </c>
    </row>
    <row r="28" spans="1:17">
      <c r="A28">
        <f>Sheet1!A28</f>
        <v>27</v>
      </c>
      <c r="B28" t="str">
        <f>Sheet1!B28</f>
        <v xml:space="preserve">ACL2022 </v>
      </c>
      <c r="C28" t="str">
        <f>Sheet1!C28</f>
        <v xml:space="preserve"> Cluster &amp; Tune: Boost BERT Cold Start Performance in Topical Text Classification</v>
      </c>
      <c r="D28" t="str">
        <f>Sheet1!E28</f>
        <v xml:space="preserve"> Eyal Shnarch, Ariel Gera, Alon Halfon, Lena Dankin, Leshem Choshen, Ranit Aharonov, Noam Slonim</v>
      </c>
      <c r="E28">
        <f>Sheet1!F28</f>
        <v>2023</v>
      </c>
      <c r="F28">
        <f>F29+Sheet1!N28</f>
        <v>19</v>
      </c>
      <c r="G28">
        <f>G29+Sheet1!O28</f>
        <v>24</v>
      </c>
      <c r="H28">
        <f>H29+Sheet1!P28</f>
        <v>21</v>
      </c>
      <c r="I28">
        <f>I29+Sheet1!Q28</f>
        <v>11</v>
      </c>
      <c r="J28">
        <f>J29+Sheet1!R28</f>
        <v>17</v>
      </c>
      <c r="K28">
        <f>K29+Sheet1!S28</f>
        <v>18</v>
      </c>
      <c r="L28">
        <f>L29+Sheet1!T28</f>
        <v>12</v>
      </c>
      <c r="M28">
        <f>M29+Sheet1!U28</f>
        <v>14</v>
      </c>
      <c r="N28">
        <f>N29+Sheet1!V28</f>
        <v>21</v>
      </c>
      <c r="O28">
        <f>O29+Sheet1!W28</f>
        <v>18</v>
      </c>
      <c r="P28">
        <f>P29+Sheet1!X28</f>
        <v>21</v>
      </c>
      <c r="Q28">
        <f>Q29+Sheet1!Y28</f>
        <v>26</v>
      </c>
    </row>
    <row r="29" spans="1:17">
      <c r="A29">
        <f>Sheet1!A29</f>
        <v>28</v>
      </c>
      <c r="B29" t="str">
        <f>Sheet1!B29</f>
        <v xml:space="preserve">ACL2022* </v>
      </c>
      <c r="C29" t="str">
        <f>Sheet1!C29</f>
        <v xml:space="preserve"> The Grammar-Learning Trajectories of Neural Language Models</v>
      </c>
      <c r="D29" t="str">
        <f>Sheet1!E29</f>
        <v xml:space="preserve"> Leshem Choshen, Guy Hacohen, Daphna Weinshall, Omri Abend</v>
      </c>
      <c r="E29">
        <f>Sheet1!F29</f>
        <v>2023</v>
      </c>
      <c r="F29">
        <f>F30+Sheet1!N29</f>
        <v>19</v>
      </c>
      <c r="G29">
        <f>G30+Sheet1!O29</f>
        <v>24</v>
      </c>
      <c r="H29">
        <f>H30+Sheet1!P29</f>
        <v>20</v>
      </c>
      <c r="I29">
        <f>I30+Sheet1!Q29</f>
        <v>11</v>
      </c>
      <c r="J29">
        <f>J30+Sheet1!R29</f>
        <v>16</v>
      </c>
      <c r="K29">
        <f>K30+Sheet1!S29</f>
        <v>18</v>
      </c>
      <c r="L29">
        <f>L30+Sheet1!T29</f>
        <v>12</v>
      </c>
      <c r="M29">
        <f>M30+Sheet1!U29</f>
        <v>14</v>
      </c>
      <c r="N29">
        <f>N30+Sheet1!V29</f>
        <v>21</v>
      </c>
      <c r="O29">
        <f>O30+Sheet1!W29</f>
        <v>18</v>
      </c>
      <c r="P29">
        <f>P30+Sheet1!X29</f>
        <v>21</v>
      </c>
      <c r="Q29">
        <f>Q30+Sheet1!Y29</f>
        <v>25</v>
      </c>
    </row>
    <row r="30" spans="1:17">
      <c r="A30">
        <f>Sheet1!A30</f>
        <v>29</v>
      </c>
      <c r="B30" t="str">
        <f>Sheet1!B30</f>
        <v xml:space="preserve">EMNLP2022 </v>
      </c>
      <c r="C30" t="str">
        <f>Sheet1!C30</f>
        <v xml:space="preserve"> Label Sleuth: From Unlabeled Text to a Classifier in a Few Hours</v>
      </c>
      <c r="D30" t="str">
        <f>Sheet1!E30</f>
        <v>Eyal Shnarch, Alon Halfon, Ariel Gera, Marina Danilevsky, Yannis Katsis, Leshem Choshen, Martin Santillan Cooper, Dina Epelboim, Zheng Zhang, Dakuo Wang, Lucy Yip, Liat Ein-Dor, Lena Dankin, Ilya Koifman, Noam Slonim, Yoav Katz Shnayderman, Ranit Aharonov, Yunyao Li, Naftali Liberman, Philip Levin Slesarev, Gwilym Newton, Shila Ofek</v>
      </c>
      <c r="E30">
        <f>Sheet1!F30</f>
        <v>2023</v>
      </c>
      <c r="F30">
        <f>F31+Sheet1!N30</f>
        <v>19</v>
      </c>
      <c r="G30">
        <f>G31+Sheet1!O30</f>
        <v>23</v>
      </c>
      <c r="H30">
        <f>H31+Sheet1!P30</f>
        <v>20</v>
      </c>
      <c r="I30">
        <f>I31+Sheet1!Q30</f>
        <v>11</v>
      </c>
      <c r="J30">
        <f>J31+Sheet1!R30</f>
        <v>16</v>
      </c>
      <c r="K30">
        <f>K31+Sheet1!S30</f>
        <v>18</v>
      </c>
      <c r="L30">
        <f>L31+Sheet1!T30</f>
        <v>12</v>
      </c>
      <c r="M30">
        <f>M31+Sheet1!U30</f>
        <v>13</v>
      </c>
      <c r="N30">
        <f>N31+Sheet1!V30</f>
        <v>21</v>
      </c>
      <c r="O30">
        <f>O31+Sheet1!W30</f>
        <v>18</v>
      </c>
      <c r="P30">
        <f>P31+Sheet1!X30</f>
        <v>21</v>
      </c>
      <c r="Q30">
        <f>Q31+Sheet1!Y30</f>
        <v>25</v>
      </c>
    </row>
    <row r="31" spans="1:17">
      <c r="A31">
        <f>Sheet1!A31</f>
        <v>30</v>
      </c>
      <c r="B31" t="str">
        <f>Sheet1!B31</f>
        <v>COLING2022</v>
      </c>
      <c r="C31" t="str">
        <f>Sheet1!C31</f>
        <v xml:space="preserve"> Tackling large action spaces in machine translation</v>
      </c>
      <c r="D31" t="str">
        <f>Sheet1!E31</f>
        <v xml:space="preserve"> Assaf Yehudai, Leshem Choshen, Omri Abend</v>
      </c>
      <c r="E31">
        <f>Sheet1!F31</f>
        <v>2023</v>
      </c>
      <c r="F31">
        <f>F32+Sheet1!N31</f>
        <v>18</v>
      </c>
      <c r="G31">
        <f>G32+Sheet1!O31</f>
        <v>23</v>
      </c>
      <c r="H31">
        <f>H32+Sheet1!P31</f>
        <v>19</v>
      </c>
      <c r="I31">
        <f>I32+Sheet1!Q31</f>
        <v>11</v>
      </c>
      <c r="J31">
        <f>J32+Sheet1!R31</f>
        <v>15</v>
      </c>
      <c r="K31">
        <f>K32+Sheet1!S31</f>
        <v>17</v>
      </c>
      <c r="L31">
        <f>L32+Sheet1!T31</f>
        <v>12</v>
      </c>
      <c r="M31">
        <f>M32+Sheet1!U31</f>
        <v>13</v>
      </c>
      <c r="N31">
        <f>N32+Sheet1!V31</f>
        <v>20</v>
      </c>
      <c r="O31">
        <f>O32+Sheet1!W31</f>
        <v>18</v>
      </c>
      <c r="P31">
        <f>P32+Sheet1!X31</f>
        <v>20</v>
      </c>
      <c r="Q31">
        <f>Q32+Sheet1!Y31</f>
        <v>24</v>
      </c>
    </row>
    <row r="32" spans="1:17">
      <c r="A32">
        <f>Sheet1!A32</f>
        <v>31</v>
      </c>
      <c r="B32" t="str">
        <f>Sheet1!B32</f>
        <v xml:space="preserve">CoNLL2022* </v>
      </c>
      <c r="C32" t="str">
        <f>Sheet1!C32</f>
        <v xml:space="preserve"> Transition based Graph Decoder for Neural Machine Translation</v>
      </c>
      <c r="D32" t="str">
        <f>Sheet1!E32</f>
        <v xml:space="preserve"> Leshem Choshen, Omri Abend</v>
      </c>
      <c r="E32">
        <f>Sheet1!F32</f>
        <v>2023</v>
      </c>
      <c r="F32">
        <f>F33+Sheet1!N32</f>
        <v>18</v>
      </c>
      <c r="G32">
        <f>G33+Sheet1!O32</f>
        <v>22</v>
      </c>
      <c r="H32">
        <f>H33+Sheet1!P32</f>
        <v>18</v>
      </c>
      <c r="I32">
        <f>I33+Sheet1!Q32</f>
        <v>11</v>
      </c>
      <c r="J32">
        <f>J33+Sheet1!R32</f>
        <v>14</v>
      </c>
      <c r="K32">
        <f>K33+Sheet1!S32</f>
        <v>17</v>
      </c>
      <c r="L32">
        <f>L33+Sheet1!T32</f>
        <v>12</v>
      </c>
      <c r="M32">
        <f>M33+Sheet1!U32</f>
        <v>13</v>
      </c>
      <c r="N32">
        <f>N33+Sheet1!V32</f>
        <v>20</v>
      </c>
      <c r="O32">
        <f>O33+Sheet1!W32</f>
        <v>18</v>
      </c>
      <c r="P32">
        <f>P33+Sheet1!X32</f>
        <v>20</v>
      </c>
      <c r="Q32">
        <f>Q33+Sheet1!Y32</f>
        <v>24</v>
      </c>
    </row>
    <row r="33" spans="1:17">
      <c r="A33">
        <f>Sheet1!A33</f>
        <v>32</v>
      </c>
      <c r="B33" t="str">
        <f>Sheet1!B33</f>
        <v xml:space="preserve">CoNLL2022 (also Blackbox NLP) </v>
      </c>
      <c r="C33" t="str">
        <f>Sheet1!C33</f>
        <v xml:space="preserve"> On the Representation of Sentence Structural Invariances in Neural Machine Translation</v>
      </c>
      <c r="D33" t="str">
        <f>Sheet1!E33</f>
        <v xml:space="preserve"> Gal Patel, Leshem Choshen, Omri Abend</v>
      </c>
      <c r="E33">
        <f>Sheet1!F33</f>
        <v>2023</v>
      </c>
      <c r="F33">
        <f>F34+Sheet1!N33</f>
        <v>17</v>
      </c>
      <c r="G33">
        <f>G34+Sheet1!O33</f>
        <v>21</v>
      </c>
      <c r="H33">
        <f>H34+Sheet1!P33</f>
        <v>17</v>
      </c>
      <c r="I33">
        <f>I34+Sheet1!Q33</f>
        <v>11</v>
      </c>
      <c r="J33">
        <f>J34+Sheet1!R33</f>
        <v>13</v>
      </c>
      <c r="K33">
        <f>K34+Sheet1!S33</f>
        <v>17</v>
      </c>
      <c r="L33">
        <f>L34+Sheet1!T33</f>
        <v>12</v>
      </c>
      <c r="M33">
        <f>M34+Sheet1!U33</f>
        <v>12</v>
      </c>
      <c r="N33">
        <f>N34+Sheet1!V33</f>
        <v>20</v>
      </c>
      <c r="O33">
        <f>O34+Sheet1!W33</f>
        <v>18</v>
      </c>
      <c r="P33">
        <f>P34+Sheet1!X33</f>
        <v>20</v>
      </c>
      <c r="Q33">
        <f>Q34+Sheet1!Y33</f>
        <v>23</v>
      </c>
    </row>
    <row r="34" spans="1:17">
      <c r="A34">
        <f>Sheet1!A34</f>
        <v>33</v>
      </c>
      <c r="B34" t="str">
        <f>Sheet1!B34</f>
        <v xml:space="preserve">EMNLP2022 </v>
      </c>
      <c r="C34" t="str">
        <f>Sheet1!C34</f>
        <v xml:space="preserve"> PreQuEL: Quality Estimation of Machine Translation Outputs in Advance</v>
      </c>
      <c r="D34" t="str">
        <f>Sheet1!E34</f>
        <v xml:space="preserve"> Shachar Don-Yechia, Leshem Choshen, Omri Abend </v>
      </c>
      <c r="E34">
        <f>Sheet1!F34</f>
        <v>2023</v>
      </c>
      <c r="F34">
        <f>F35+Sheet1!N34</f>
        <v>17</v>
      </c>
      <c r="G34">
        <f>G35+Sheet1!O34</f>
        <v>20</v>
      </c>
      <c r="H34">
        <f>H35+Sheet1!P34</f>
        <v>17</v>
      </c>
      <c r="I34">
        <f>I35+Sheet1!Q34</f>
        <v>11</v>
      </c>
      <c r="J34">
        <f>J35+Sheet1!R34</f>
        <v>13</v>
      </c>
      <c r="K34">
        <f>K35+Sheet1!S34</f>
        <v>17</v>
      </c>
      <c r="L34">
        <f>L35+Sheet1!T34</f>
        <v>12</v>
      </c>
      <c r="M34">
        <f>M35+Sheet1!U34</f>
        <v>11</v>
      </c>
      <c r="N34">
        <f>N35+Sheet1!V34</f>
        <v>20</v>
      </c>
      <c r="O34">
        <f>O35+Sheet1!W34</f>
        <v>18</v>
      </c>
      <c r="P34">
        <f>P35+Sheet1!X34</f>
        <v>20</v>
      </c>
      <c r="Q34">
        <f>Q35+Sheet1!Y34</f>
        <v>23</v>
      </c>
    </row>
    <row r="35" spans="1:17">
      <c r="A35">
        <f>Sheet1!A35</f>
        <v>34</v>
      </c>
      <c r="B35" t="str">
        <f>Sheet1!B35</f>
        <v xml:space="preserve">ACL2023 </v>
      </c>
      <c r="C35" t="str">
        <f>Sheet1!C35</f>
        <v xml:space="preserve"> DisentQA: Disentangling Parametric and Contextual Knowledge with Counterfactual Question Answering</v>
      </c>
      <c r="D35" t="str">
        <f>Sheet1!E35</f>
        <v xml:space="preserve"> Ella Neeman, Roee Aharoni, Or Honovich, Leshem Choshen, Idan Szpektor, Omri Abend</v>
      </c>
      <c r="E35">
        <f>Sheet1!F35</f>
        <v>2023</v>
      </c>
      <c r="F35">
        <f>F36+Sheet1!N35</f>
        <v>17</v>
      </c>
      <c r="G35">
        <f>G36+Sheet1!O35</f>
        <v>19</v>
      </c>
      <c r="H35">
        <f>H36+Sheet1!P35</f>
        <v>16</v>
      </c>
      <c r="I35">
        <f>I36+Sheet1!Q35</f>
        <v>11</v>
      </c>
      <c r="J35">
        <f>J36+Sheet1!R35</f>
        <v>13</v>
      </c>
      <c r="K35">
        <f>K36+Sheet1!S35</f>
        <v>16</v>
      </c>
      <c r="L35">
        <f>L36+Sheet1!T35</f>
        <v>12</v>
      </c>
      <c r="M35">
        <f>M36+Sheet1!U35</f>
        <v>11</v>
      </c>
      <c r="N35">
        <f>N36+Sheet1!V35</f>
        <v>20</v>
      </c>
      <c r="O35">
        <f>O36+Sheet1!W35</f>
        <v>18</v>
      </c>
      <c r="P35">
        <f>P36+Sheet1!X35</f>
        <v>20</v>
      </c>
      <c r="Q35">
        <f>Q36+Sheet1!Y35</f>
        <v>23</v>
      </c>
    </row>
    <row r="36" spans="1:17">
      <c r="A36">
        <f>Sheet1!A36</f>
        <v>35</v>
      </c>
      <c r="B36" t="str">
        <f>Sheet1!B36</f>
        <v xml:space="preserve">ACL2023^ </v>
      </c>
      <c r="C36" t="str">
        <f>Sheet1!C36</f>
        <v xml:space="preserve"> ColD Fusion: Collaborative Descent for Distributed Multitask Finetuning</v>
      </c>
      <c r="D36" t="str">
        <f>Sheet1!E36</f>
        <v xml:space="preserve"> Shachar Don-Yehia, Elad Venezian, Colin Raffel, Noam Slonim, Yoav Katz, Leshem Choshen </v>
      </c>
      <c r="E36">
        <f>Sheet1!F36</f>
        <v>2023</v>
      </c>
      <c r="F36">
        <f>F37+Sheet1!N36</f>
        <v>17</v>
      </c>
      <c r="G36">
        <f>G37+Sheet1!O36</f>
        <v>18</v>
      </c>
      <c r="H36">
        <f>H37+Sheet1!P36</f>
        <v>15</v>
      </c>
      <c r="I36">
        <f>I37+Sheet1!Q36</f>
        <v>11</v>
      </c>
      <c r="J36">
        <f>J37+Sheet1!R36</f>
        <v>12</v>
      </c>
      <c r="K36">
        <f>K37+Sheet1!S36</f>
        <v>16</v>
      </c>
      <c r="L36">
        <f>L37+Sheet1!T36</f>
        <v>12</v>
      </c>
      <c r="M36">
        <f>M37+Sheet1!U36</f>
        <v>11</v>
      </c>
      <c r="N36">
        <f>N37+Sheet1!V36</f>
        <v>20</v>
      </c>
      <c r="O36">
        <f>O37+Sheet1!W36</f>
        <v>18</v>
      </c>
      <c r="P36">
        <f>P37+Sheet1!X36</f>
        <v>20</v>
      </c>
      <c r="Q36">
        <f>Q37+Sheet1!Y36</f>
        <v>23</v>
      </c>
    </row>
    <row r="37" spans="1:17">
      <c r="A37">
        <f>Sheet1!A37</f>
        <v>36</v>
      </c>
      <c r="B37" t="str">
        <f>Sheet1!B37</f>
        <v>CoNLL2023</v>
      </c>
      <c r="C37" t="str">
        <f>Sheet1!C37</f>
        <v>Findings of the {B}aby{LM} Challenge: Sample-Efficient Pretraining on Developmentally Plausible Corpora</v>
      </c>
      <c r="D37" t="str">
        <f>Sheet1!E37</f>
        <v xml:space="preserve"> Alex Warstadt, Aaron Mueller, Leshem Choshen, Ethan Gotlieb Wilcox, Chengxu Zhuang, Adina Williams, Ryan Cotterell, Tal Linzen</v>
      </c>
      <c r="E37">
        <f>Sheet1!F37</f>
        <v>2023</v>
      </c>
      <c r="F37">
        <f>F38+Sheet1!N37</f>
        <v>17</v>
      </c>
      <c r="G37">
        <f>G38+Sheet1!O37</f>
        <v>18</v>
      </c>
      <c r="H37">
        <f>H38+Sheet1!P37</f>
        <v>14</v>
      </c>
      <c r="I37">
        <f>I38+Sheet1!Q37</f>
        <v>11</v>
      </c>
      <c r="J37">
        <f>J38+Sheet1!R37</f>
        <v>11</v>
      </c>
      <c r="K37">
        <f>K38+Sheet1!S37</f>
        <v>16</v>
      </c>
      <c r="L37">
        <f>L38+Sheet1!T37</f>
        <v>12</v>
      </c>
      <c r="M37">
        <f>M38+Sheet1!U37</f>
        <v>11</v>
      </c>
      <c r="N37">
        <f>N38+Sheet1!V37</f>
        <v>19</v>
      </c>
      <c r="O37">
        <f>O38+Sheet1!W37</f>
        <v>17</v>
      </c>
      <c r="P37">
        <f>P38+Sheet1!X37</f>
        <v>19</v>
      </c>
      <c r="Q37">
        <f>Q38+Sheet1!Y37</f>
        <v>22</v>
      </c>
    </row>
    <row r="38" spans="1:17">
      <c r="A38">
        <f>Sheet1!A39</f>
        <v>38</v>
      </c>
      <c r="B38" t="str">
        <f>Sheet1!B39</f>
        <v xml:space="preserve">EMNLP2023 </v>
      </c>
      <c r="C38" t="str">
        <f>Sheet1!C39</f>
        <v xml:space="preserve"> Knowledge is a Region in Weight Space for Fine-tuned Language Models</v>
      </c>
      <c r="D38" t="str">
        <f>Sheet1!E39</f>
        <v>Almog Gueta, Elad Venezian, Colin Raffel, Noam Slonim, Yoav Katz, Leshem Choshen</v>
      </c>
      <c r="E38">
        <f>Sheet1!F39</f>
        <v>2023</v>
      </c>
      <c r="F38">
        <f>F39+Sheet1!N39</f>
        <v>16</v>
      </c>
      <c r="G38">
        <f>G39+Sheet1!O39</f>
        <v>17</v>
      </c>
      <c r="H38">
        <f>H39+Sheet1!P39</f>
        <v>14</v>
      </c>
      <c r="I38">
        <f>I39+Sheet1!Q39</f>
        <v>10</v>
      </c>
      <c r="J38">
        <f>J39+Sheet1!R39</f>
        <v>10</v>
      </c>
      <c r="K38">
        <f>K39+Sheet1!S39</f>
        <v>15</v>
      </c>
      <c r="L38">
        <f>L39+Sheet1!T39</f>
        <v>11</v>
      </c>
      <c r="M38">
        <f>M39+Sheet1!U39</f>
        <v>10</v>
      </c>
      <c r="N38">
        <f>N39+Sheet1!V39</f>
        <v>18</v>
      </c>
      <c r="O38">
        <f>O39+Sheet1!W39</f>
        <v>16</v>
      </c>
      <c r="P38">
        <f>P39+Sheet1!X39</f>
        <v>18</v>
      </c>
      <c r="Q38">
        <f>Q39+Sheet1!Y39</f>
        <v>21</v>
      </c>
    </row>
    <row r="39" spans="1:17">
      <c r="A39">
        <f>Sheet1!A40</f>
        <v>39</v>
      </c>
      <c r="B39" t="str">
        <f>Sheet1!B40</f>
        <v xml:space="preserve">CoNLL </v>
      </c>
      <c r="C39" t="str">
        <f>Sheet1!C40</f>
        <v xml:space="preserve"> MuLER: Multi-Level Evaluation with Reference</v>
      </c>
      <c r="D39" t="str">
        <f>Sheet1!E40</f>
        <v>Tailin Karidi, Leshem Choshen, Gal Patel, Omri Abend</v>
      </c>
      <c r="E39">
        <f>Sheet1!F40</f>
        <v>2023</v>
      </c>
      <c r="F39">
        <f>F40+Sheet1!N40</f>
        <v>16</v>
      </c>
      <c r="G39">
        <f>G40+Sheet1!O40</f>
        <v>16</v>
      </c>
      <c r="H39">
        <f>H40+Sheet1!P40</f>
        <v>14</v>
      </c>
      <c r="I39">
        <f>I40+Sheet1!Q40</f>
        <v>10</v>
      </c>
      <c r="J39">
        <f>J40+Sheet1!R40</f>
        <v>10</v>
      </c>
      <c r="K39">
        <f>K40+Sheet1!S40</f>
        <v>15</v>
      </c>
      <c r="L39">
        <f>L40+Sheet1!T40</f>
        <v>11</v>
      </c>
      <c r="M39">
        <f>M40+Sheet1!U40</f>
        <v>10</v>
      </c>
      <c r="N39">
        <f>N40+Sheet1!V40</f>
        <v>18</v>
      </c>
      <c r="O39">
        <f>O40+Sheet1!W40</f>
        <v>16</v>
      </c>
      <c r="P39">
        <f>P40+Sheet1!X40</f>
        <v>18</v>
      </c>
      <c r="Q39">
        <f>Q40+Sheet1!Y40</f>
        <v>21</v>
      </c>
    </row>
    <row r="40" spans="1:17">
      <c r="A40">
        <f>Sheet1!A41</f>
        <v>40</v>
      </c>
      <c r="B40" t="str">
        <f>Sheet1!B41</f>
        <v xml:space="preserve">Neurips2023 </v>
      </c>
      <c r="C40" t="str">
        <f>Sheet1!C41</f>
        <v xml:space="preserve"> TIES-Merging: Resolving Interference When Merging Models</v>
      </c>
      <c r="D40" t="str">
        <f>Sheet1!E41</f>
        <v>Prateek Yadav, Derek Tam, Leshem Choshen, Colin Raffel, Mohit Bansal</v>
      </c>
      <c r="E40">
        <f>Sheet1!F41</f>
        <v>2023</v>
      </c>
      <c r="F40">
        <f>F41+Sheet1!N41</f>
        <v>16</v>
      </c>
      <c r="G40">
        <f>G41+Sheet1!O41</f>
        <v>15</v>
      </c>
      <c r="H40">
        <f>H41+Sheet1!P41</f>
        <v>13</v>
      </c>
      <c r="I40">
        <f>I41+Sheet1!Q41</f>
        <v>10</v>
      </c>
      <c r="J40">
        <f>J41+Sheet1!R41</f>
        <v>10</v>
      </c>
      <c r="K40">
        <f>K41+Sheet1!S41</f>
        <v>14</v>
      </c>
      <c r="L40">
        <f>L41+Sheet1!T41</f>
        <v>11</v>
      </c>
      <c r="M40">
        <f>M41+Sheet1!U41</f>
        <v>9</v>
      </c>
      <c r="N40">
        <f>N41+Sheet1!V41</f>
        <v>18</v>
      </c>
      <c r="O40">
        <f>O41+Sheet1!W41</f>
        <v>16</v>
      </c>
      <c r="P40">
        <f>P41+Sheet1!X41</f>
        <v>18</v>
      </c>
      <c r="Q40">
        <f>Q41+Sheet1!Y41</f>
        <v>21</v>
      </c>
    </row>
    <row r="41" spans="1:17">
      <c r="A41">
        <f>Sheet1!A42</f>
        <v>41</v>
      </c>
      <c r="B41" t="str">
        <f>Sheet1!B42</f>
        <v xml:space="preserve">EMNLP2023 </v>
      </c>
      <c r="C41" t="str">
        <f>Sheet1!C42</f>
        <v xml:space="preserve"> Human Learning by Model Feedback: The Dynamics of Iterative Prompting with Midjourney</v>
      </c>
      <c r="D41" t="str">
        <f>Sheet1!E42</f>
        <v xml:space="preserve"> Shachar Don-Yechia, Leshem Choshen, Omri Abend </v>
      </c>
      <c r="E41">
        <f>Sheet1!F42</f>
        <v>2023</v>
      </c>
      <c r="F41">
        <f>F42+Sheet1!N42</f>
        <v>16</v>
      </c>
      <c r="G41">
        <f>G42+Sheet1!O42</f>
        <v>14</v>
      </c>
      <c r="H41">
        <f>H42+Sheet1!P42</f>
        <v>12</v>
      </c>
      <c r="I41">
        <f>I42+Sheet1!Q42</f>
        <v>10</v>
      </c>
      <c r="J41">
        <f>J42+Sheet1!R42</f>
        <v>10</v>
      </c>
      <c r="K41">
        <f>K42+Sheet1!S42</f>
        <v>14</v>
      </c>
      <c r="L41">
        <f>L42+Sheet1!T42</f>
        <v>11</v>
      </c>
      <c r="M41">
        <f>M42+Sheet1!U42</f>
        <v>9</v>
      </c>
      <c r="N41">
        <f>N42+Sheet1!V42</f>
        <v>17</v>
      </c>
      <c r="O41">
        <f>O42+Sheet1!W42</f>
        <v>16</v>
      </c>
      <c r="P41">
        <f>P42+Sheet1!X42</f>
        <v>17</v>
      </c>
      <c r="Q41">
        <f>Q42+Sheet1!Y42</f>
        <v>20</v>
      </c>
    </row>
    <row r="42" spans="1:17">
      <c r="A42">
        <f>Sheet1!A43</f>
        <v>42</v>
      </c>
      <c r="B42" t="str">
        <f>Sheet1!B43</f>
        <v xml:space="preserve">CONDA@ACL </v>
      </c>
      <c r="C42" t="str">
        <f>Sheet1!C43</f>
        <v xml:space="preserve"> Data Contamination Report from the 2024 CONDA Shared Task</v>
      </c>
      <c r="D42" t="str">
        <f>Sheet1!E43</f>
        <v xml:space="preserve"> Numerous.</v>
      </c>
      <c r="E42">
        <f>Sheet1!F43</f>
        <v>2024</v>
      </c>
      <c r="F42">
        <f>F43+Sheet1!N43</f>
        <v>15</v>
      </c>
      <c r="G42">
        <f>G43+Sheet1!O43</f>
        <v>14</v>
      </c>
      <c r="H42">
        <f>H43+Sheet1!P43</f>
        <v>12</v>
      </c>
      <c r="I42">
        <f>I43+Sheet1!Q43</f>
        <v>9</v>
      </c>
      <c r="J42">
        <f>J43+Sheet1!R43</f>
        <v>10</v>
      </c>
      <c r="K42">
        <f>K43+Sheet1!S43</f>
        <v>14</v>
      </c>
      <c r="L42">
        <f>L43+Sheet1!T43</f>
        <v>11</v>
      </c>
      <c r="M42">
        <f>M43+Sheet1!U43</f>
        <v>8</v>
      </c>
      <c r="N42">
        <f>N43+Sheet1!V43</f>
        <v>16</v>
      </c>
      <c r="O42">
        <f>O43+Sheet1!W43</f>
        <v>16</v>
      </c>
      <c r="P42">
        <f>P43+Sheet1!X43</f>
        <v>17</v>
      </c>
      <c r="Q42">
        <f>Q43+Sheet1!Y43</f>
        <v>20</v>
      </c>
    </row>
    <row r="43" spans="1:17">
      <c r="A43">
        <f>Sheet1!A44</f>
        <v>43</v>
      </c>
      <c r="B43" t="str">
        <f>Sheet1!B44</f>
        <v xml:space="preserve">LREC-Coling 2024 </v>
      </c>
      <c r="C43" t="str">
        <f>Sheet1!C44</f>
        <v>Jump to Conclusions: Short-Cutting Transformers With Linear Transformations</v>
      </c>
      <c r="D43" t="str">
        <f>Sheet1!E44</f>
        <v>Alexander Yom Din, Taelin Karidi, Leshem Choshen, Mor Geva</v>
      </c>
      <c r="E43">
        <f>Sheet1!F44</f>
        <v>2024</v>
      </c>
      <c r="F43">
        <f>F44+Sheet1!N44</f>
        <v>14</v>
      </c>
      <c r="G43">
        <f>G44+Sheet1!O44</f>
        <v>13</v>
      </c>
      <c r="H43">
        <f>H44+Sheet1!P44</f>
        <v>12</v>
      </c>
      <c r="I43">
        <f>I44+Sheet1!Q44</f>
        <v>9</v>
      </c>
      <c r="J43">
        <f>J44+Sheet1!R44</f>
        <v>10</v>
      </c>
      <c r="K43">
        <f>K44+Sheet1!S44</f>
        <v>13</v>
      </c>
      <c r="L43">
        <f>L44+Sheet1!T44</f>
        <v>10</v>
      </c>
      <c r="M43">
        <f>M44+Sheet1!U44</f>
        <v>7</v>
      </c>
      <c r="N43">
        <f>N44+Sheet1!V44</f>
        <v>15</v>
      </c>
      <c r="O43">
        <f>O44+Sheet1!W44</f>
        <v>15</v>
      </c>
      <c r="P43">
        <f>P44+Sheet1!X44</f>
        <v>17</v>
      </c>
      <c r="Q43">
        <f>Q44+Sheet1!Y44</f>
        <v>20</v>
      </c>
    </row>
    <row r="44" spans="1:17">
      <c r="A44">
        <f>Sheet1!A46</f>
        <v>45</v>
      </c>
      <c r="B44" t="str">
        <f>Sheet1!B46</f>
        <v xml:space="preserve">NAACL2024^ </v>
      </c>
      <c r="C44" t="str">
        <f>Sheet1!C46</f>
        <v xml:space="preserve"> Efficient Benchmarking (of Language Models)‏</v>
      </c>
      <c r="D44" t="str">
        <f>Sheet1!E46</f>
        <v xml:space="preserve"> Yotam Perlitz, Elron Bandel, Ariel Gera, Ofir Arviv, Liat Ein-Dor, Eyal Shnarch, Noam Slonim, Michal Shmueli-Scheuer, Leshem Choshen</v>
      </c>
      <c r="E44">
        <f>Sheet1!F46</f>
        <v>2024</v>
      </c>
      <c r="F44">
        <f>F45+Sheet1!N46</f>
        <v>14</v>
      </c>
      <c r="G44">
        <f>G45+Sheet1!O46</f>
        <v>12</v>
      </c>
      <c r="H44">
        <f>H45+Sheet1!P46</f>
        <v>11</v>
      </c>
      <c r="I44">
        <f>I45+Sheet1!Q46</f>
        <v>9</v>
      </c>
      <c r="J44">
        <f>J45+Sheet1!R46</f>
        <v>10</v>
      </c>
      <c r="K44">
        <f>K45+Sheet1!S46</f>
        <v>13</v>
      </c>
      <c r="L44">
        <f>L45+Sheet1!T46</f>
        <v>10</v>
      </c>
      <c r="M44">
        <f>M45+Sheet1!U46</f>
        <v>7</v>
      </c>
      <c r="N44">
        <f>N45+Sheet1!V46</f>
        <v>15</v>
      </c>
      <c r="O44">
        <f>O45+Sheet1!W46</f>
        <v>15</v>
      </c>
      <c r="P44">
        <f>P45+Sheet1!X46</f>
        <v>17</v>
      </c>
      <c r="Q44">
        <f>Q45+Sheet1!Y46</f>
        <v>19</v>
      </c>
    </row>
    <row r="45" spans="1:17">
      <c r="A45">
        <f>Sheet1!A47</f>
        <v>46</v>
      </c>
      <c r="B45" t="str">
        <f>Sheet1!B47</f>
        <v xml:space="preserve">ACL2024 </v>
      </c>
      <c r="C45" t="str">
        <f>Sheet1!C47</f>
        <v xml:space="preserve"> Deductive Closure Training of Language Models for Coherence, Accuracy, and Updatability</v>
      </c>
      <c r="D45" t="str">
        <f>Sheet1!E47</f>
        <v xml:space="preserve"> Afra Feyza Akyürek, Ekin Akyürek, Leshem Choshen, Derry Wijaya, Jacob Andreas</v>
      </c>
      <c r="E45">
        <f>Sheet1!F47</f>
        <v>2024</v>
      </c>
      <c r="F45">
        <f>F46+Sheet1!N47</f>
        <v>14</v>
      </c>
      <c r="G45">
        <f>G46+Sheet1!O47</f>
        <v>12</v>
      </c>
      <c r="H45">
        <f>H46+Sheet1!P47</f>
        <v>11</v>
      </c>
      <c r="I45">
        <f>I46+Sheet1!Q47</f>
        <v>9</v>
      </c>
      <c r="J45">
        <f>J46+Sheet1!R47</f>
        <v>10</v>
      </c>
      <c r="K45">
        <f>K46+Sheet1!S47</f>
        <v>12</v>
      </c>
      <c r="L45">
        <f>L46+Sheet1!T47</f>
        <v>10</v>
      </c>
      <c r="M45">
        <f>M46+Sheet1!U47</f>
        <v>7</v>
      </c>
      <c r="N45">
        <f>N46+Sheet1!V47</f>
        <v>15</v>
      </c>
      <c r="O45">
        <f>O46+Sheet1!W47</f>
        <v>14</v>
      </c>
      <c r="P45">
        <f>P46+Sheet1!X47</f>
        <v>16</v>
      </c>
      <c r="Q45">
        <f>Q46+Sheet1!Y47</f>
        <v>18</v>
      </c>
    </row>
    <row r="46" spans="1:17">
      <c r="A46">
        <f>Sheet1!A48</f>
        <v>47</v>
      </c>
      <c r="B46" t="str">
        <f>Sheet1!B48</f>
        <v xml:space="preserve">CogSci2024 </v>
      </c>
      <c r="C46" t="str">
        <f>Sheet1!C48</f>
        <v xml:space="preserve"> Insights from the first BabyLM Challenge: Training sample efficient language models on a developmentally plausible corpus</v>
      </c>
      <c r="D46" t="str">
        <f>Sheet1!E48</f>
        <v xml:space="preserve"> Alex Warstadt, Aaron Mueller, Leshem Choshen, Ethan Gotlieb Wilcox, Chengxu Zhuang, Adina Williams, Ryan Cotterell, Tal Linzen</v>
      </c>
      <c r="E46">
        <f>Sheet1!F48</f>
        <v>2024</v>
      </c>
      <c r="F46">
        <f>F47+Sheet1!N48</f>
        <v>14</v>
      </c>
      <c r="G46">
        <f>G47+Sheet1!O48</f>
        <v>11</v>
      </c>
      <c r="H46">
        <f>H47+Sheet1!P48</f>
        <v>10</v>
      </c>
      <c r="I46">
        <f>I47+Sheet1!Q48</f>
        <v>9</v>
      </c>
      <c r="J46">
        <f>J47+Sheet1!R48</f>
        <v>9</v>
      </c>
      <c r="K46">
        <f>K47+Sheet1!S48</f>
        <v>12</v>
      </c>
      <c r="L46">
        <f>L47+Sheet1!T48</f>
        <v>10</v>
      </c>
      <c r="M46">
        <f>M47+Sheet1!U48</f>
        <v>7</v>
      </c>
      <c r="N46">
        <f>N47+Sheet1!V48</f>
        <v>15</v>
      </c>
      <c r="O46">
        <f>O47+Sheet1!W48</f>
        <v>14</v>
      </c>
      <c r="P46">
        <f>P47+Sheet1!X48</f>
        <v>16</v>
      </c>
      <c r="Q46">
        <f>Q47+Sheet1!Y48</f>
        <v>18</v>
      </c>
    </row>
    <row r="47" spans="1:17">
      <c r="A47">
        <f>Sheet1!A49</f>
        <v>48</v>
      </c>
      <c r="B47" t="str">
        <f>Sheet1!B49</f>
        <v xml:space="preserve">ICLR2024^ </v>
      </c>
      <c r="C47" t="str">
        <f>Sheet1!C49</f>
        <v xml:space="preserve"> Genie: Achieving human parity in content grounded datasets generation</v>
      </c>
      <c r="D47" t="str">
        <f>Sheet1!E49</f>
        <v xml:space="preserve"> Asaf Yehudai, Boaz Carmeli, Yosi Mass, Ofir Arviv, Nathaniel Mills, Assaf Toledo, Eyal Shnarch, Leshem Choshen</v>
      </c>
      <c r="E47">
        <f>Sheet1!F49</f>
        <v>2024</v>
      </c>
      <c r="F47">
        <f>F48+Sheet1!N49</f>
        <v>13</v>
      </c>
      <c r="G47">
        <f>G48+Sheet1!O49</f>
        <v>10</v>
      </c>
      <c r="H47">
        <f>H48+Sheet1!P49</f>
        <v>10</v>
      </c>
      <c r="I47">
        <f>I48+Sheet1!Q49</f>
        <v>8</v>
      </c>
      <c r="J47">
        <f>J48+Sheet1!R49</f>
        <v>8</v>
      </c>
      <c r="K47">
        <f>K48+Sheet1!S49</f>
        <v>11</v>
      </c>
      <c r="L47">
        <f>L48+Sheet1!T49</f>
        <v>9</v>
      </c>
      <c r="M47">
        <f>M48+Sheet1!U49</f>
        <v>6</v>
      </c>
      <c r="N47">
        <f>N48+Sheet1!V49</f>
        <v>14</v>
      </c>
      <c r="O47">
        <f>O48+Sheet1!W49</f>
        <v>13</v>
      </c>
      <c r="P47">
        <f>P48+Sheet1!X49</f>
        <v>15</v>
      </c>
      <c r="Q47">
        <f>Q48+Sheet1!Y49</f>
        <v>17</v>
      </c>
    </row>
    <row r="48" spans="1:17">
      <c r="A48">
        <f>Sheet1!A50</f>
        <v>49</v>
      </c>
      <c r="B48" t="str">
        <f>Sheet1!B50</f>
        <v xml:space="preserve">ICML2024 </v>
      </c>
      <c r="C48" t="str">
        <f>Sheet1!C50</f>
        <v xml:space="preserve"> Asymmetry in low rank adapters of foundation models</v>
      </c>
      <c r="D48" t="str">
        <f>Sheet1!E50</f>
        <v>Jiacheng Zhu, Kristjan Greenewald, Kimia Nadjahi, Haitz Sáez de Ocáriz Borde, Rickard Brüel Gabrielsson, Leshem Choshen, Marzyeh Ghassemi, Mikhail Yurochkin, Justin Solomon</v>
      </c>
      <c r="E48">
        <f>Sheet1!F50</f>
        <v>2024</v>
      </c>
      <c r="F48">
        <f>F49+Sheet1!N50</f>
        <v>13</v>
      </c>
      <c r="G48">
        <f>G49+Sheet1!O50</f>
        <v>10</v>
      </c>
      <c r="H48">
        <f>H49+Sheet1!P50</f>
        <v>9</v>
      </c>
      <c r="I48">
        <f>I49+Sheet1!Q50</f>
        <v>7</v>
      </c>
      <c r="J48">
        <f>J49+Sheet1!R50</f>
        <v>7</v>
      </c>
      <c r="K48">
        <f>K49+Sheet1!S50</f>
        <v>11</v>
      </c>
      <c r="L48">
        <f>L49+Sheet1!T50</f>
        <v>9</v>
      </c>
      <c r="M48">
        <f>M49+Sheet1!U50</f>
        <v>6</v>
      </c>
      <c r="N48">
        <f>N49+Sheet1!V50</f>
        <v>14</v>
      </c>
      <c r="O48">
        <f>O49+Sheet1!W50</f>
        <v>13</v>
      </c>
      <c r="P48">
        <f>P49+Sheet1!X50</f>
        <v>14</v>
      </c>
      <c r="Q48">
        <f>Q49+Sheet1!Y50</f>
        <v>16</v>
      </c>
    </row>
    <row r="49" spans="1:17">
      <c r="A49">
        <f>Sheet1!A51</f>
        <v>50</v>
      </c>
      <c r="B49" t="str">
        <f>Sheet1!B51</f>
        <v xml:space="preserve">ICML2024 </v>
      </c>
      <c r="C49" t="str">
        <f>Sheet1!C51</f>
        <v xml:space="preserve"> tinyBenchmarks: evaluating LLMs with fewer examples</v>
      </c>
      <c r="D49" t="str">
        <f>Sheet1!E51</f>
        <v xml:space="preserve"> Felipe Maia Polo, Lucas Weber, Leshem Choshen, Yuekai Sun, Gongjun Xu, Mikhail Yurochkin</v>
      </c>
      <c r="E49">
        <f>Sheet1!F51</f>
        <v>2024</v>
      </c>
      <c r="F49">
        <f>F50+Sheet1!N51</f>
        <v>13</v>
      </c>
      <c r="G49">
        <f>G50+Sheet1!O51</f>
        <v>9</v>
      </c>
      <c r="H49">
        <f>H50+Sheet1!P51</f>
        <v>8</v>
      </c>
      <c r="I49">
        <f>I50+Sheet1!Q51</f>
        <v>7</v>
      </c>
      <c r="J49">
        <f>J50+Sheet1!R51</f>
        <v>6</v>
      </c>
      <c r="K49">
        <f>K50+Sheet1!S51</f>
        <v>11</v>
      </c>
      <c r="L49">
        <f>L50+Sheet1!T51</f>
        <v>9</v>
      </c>
      <c r="M49">
        <f>M50+Sheet1!U51</f>
        <v>6</v>
      </c>
      <c r="N49">
        <f>N50+Sheet1!V51</f>
        <v>14</v>
      </c>
      <c r="O49">
        <f>O50+Sheet1!W51</f>
        <v>13</v>
      </c>
      <c r="P49">
        <f>P50+Sheet1!X51</f>
        <v>14</v>
      </c>
      <c r="Q49">
        <f>Q50+Sheet1!Y51</f>
        <v>15</v>
      </c>
    </row>
    <row r="50" spans="1:17">
      <c r="A50">
        <f>Sheet1!A52</f>
        <v>51</v>
      </c>
      <c r="B50" t="str">
        <f>Sheet1!B52</f>
        <v xml:space="preserve">TACL2024 </v>
      </c>
      <c r="C50" t="str">
        <f>Sheet1!C52</f>
        <v xml:space="preserve"> Holmes: Benchmark the Linguistic Competence of Language Models</v>
      </c>
      <c r="D50" t="str">
        <f>Sheet1!E52</f>
        <v xml:space="preserve"> Andreas Waldis, Yotam Perlitz, Leshem Choshen, Yufang Hou, Iryna Gurevych</v>
      </c>
      <c r="E50">
        <f>Sheet1!F52</f>
        <v>2024</v>
      </c>
      <c r="F50">
        <f>F51+Sheet1!N52</f>
        <v>12</v>
      </c>
      <c r="G50">
        <f>G51+Sheet1!O52</f>
        <v>9</v>
      </c>
      <c r="H50">
        <f>H51+Sheet1!P52</f>
        <v>7</v>
      </c>
      <c r="I50">
        <f>I51+Sheet1!Q52</f>
        <v>7</v>
      </c>
      <c r="J50">
        <f>J51+Sheet1!R52</f>
        <v>6</v>
      </c>
      <c r="K50">
        <f>K51+Sheet1!S52</f>
        <v>10</v>
      </c>
      <c r="L50">
        <f>L51+Sheet1!T52</f>
        <v>9</v>
      </c>
      <c r="M50">
        <f>M51+Sheet1!U52</f>
        <v>6</v>
      </c>
      <c r="N50">
        <f>N51+Sheet1!V52</f>
        <v>13</v>
      </c>
      <c r="O50">
        <f>O51+Sheet1!W52</f>
        <v>13</v>
      </c>
      <c r="P50">
        <f>P51+Sheet1!X52</f>
        <v>13</v>
      </c>
      <c r="Q50">
        <f>Q51+Sheet1!Y52</f>
        <v>14</v>
      </c>
    </row>
    <row r="51" spans="1:17">
      <c r="A51">
        <f>Sheet1!A53</f>
        <v>52</v>
      </c>
      <c r="B51" t="str">
        <f>Sheet1!B53</f>
        <v xml:space="preserve">EMNLP 2024 Demo </v>
      </c>
      <c r="C51" t="str">
        <f>Sheet1!C53</f>
        <v xml:space="preserve"> Unitxt: Flexible, shareable and reusable data preparation and evaluation for generative ai</v>
      </c>
      <c r="D51" t="str">
        <f>Sheet1!E53</f>
        <v xml:space="preserve"> Elron Bandel, Yotam Perlitz, Elad Venezian, Roni FriedmanMelamed, Ofir Arviv, Matan Orbach, Shachar Don-Yehyia, Dafna Sheinwald, Ariel Gera, Leshem Choshen, Michal Shmueli-Scheuer, Yoav Katz</v>
      </c>
      <c r="E51">
        <f>Sheet1!F53</f>
        <v>2024</v>
      </c>
      <c r="F51">
        <f>F52+Sheet1!N53</f>
        <v>11</v>
      </c>
      <c r="G51">
        <f>G52+Sheet1!O53</f>
        <v>8</v>
      </c>
      <c r="H51">
        <f>H52+Sheet1!P53</f>
        <v>7</v>
      </c>
      <c r="I51">
        <f>I52+Sheet1!Q53</f>
        <v>6</v>
      </c>
      <c r="J51">
        <f>J52+Sheet1!R53</f>
        <v>6</v>
      </c>
      <c r="K51">
        <f>K52+Sheet1!S53</f>
        <v>9</v>
      </c>
      <c r="L51">
        <f>L52+Sheet1!T53</f>
        <v>9</v>
      </c>
      <c r="M51">
        <f>M52+Sheet1!U53</f>
        <v>5</v>
      </c>
      <c r="N51">
        <f>N52+Sheet1!V53</f>
        <v>12</v>
      </c>
      <c r="O51">
        <f>O52+Sheet1!W53</f>
        <v>12</v>
      </c>
      <c r="P51">
        <f>P52+Sheet1!X53</f>
        <v>12</v>
      </c>
      <c r="Q51">
        <f>Q52+Sheet1!Y53</f>
        <v>14</v>
      </c>
    </row>
    <row r="52" spans="1:17">
      <c r="A52">
        <f>Sheet1!A54</f>
        <v>53</v>
      </c>
      <c r="B52" t="str">
        <f>Sheet1!B54</f>
        <v xml:space="preserve">ACL 2024 </v>
      </c>
      <c r="C52" t="str">
        <f>Sheet1!C54</f>
        <v xml:space="preserve"> Label-Efficient Model Selection for Text Generation</v>
      </c>
      <c r="D52" t="str">
        <f>Sheet1!E54</f>
        <v xml:space="preserve"> Shir Ashury-Tahan, Benjamin Sznajder, Leshem Choshen, Liat Ein</v>
      </c>
      <c r="E52">
        <f>Sheet1!F54</f>
        <v>2024</v>
      </c>
      <c r="F52">
        <f>F53+Sheet1!N54</f>
        <v>10</v>
      </c>
      <c r="G52">
        <f>G53+Sheet1!O54</f>
        <v>8</v>
      </c>
      <c r="H52">
        <f>H53+Sheet1!P54</f>
        <v>7</v>
      </c>
      <c r="I52">
        <f>I53+Sheet1!Q54</f>
        <v>5</v>
      </c>
      <c r="J52">
        <f>J53+Sheet1!R54</f>
        <v>6</v>
      </c>
      <c r="K52">
        <f>K53+Sheet1!S54</f>
        <v>8</v>
      </c>
      <c r="L52">
        <f>L53+Sheet1!T54</f>
        <v>8</v>
      </c>
      <c r="M52">
        <f>M53+Sheet1!U54</f>
        <v>5</v>
      </c>
      <c r="N52">
        <f>N53+Sheet1!V54</f>
        <v>11</v>
      </c>
      <c r="O52">
        <f>O53+Sheet1!W54</f>
        <v>12</v>
      </c>
      <c r="P52">
        <f>P53+Sheet1!X54</f>
        <v>11</v>
      </c>
      <c r="Q52">
        <f>Q53+Sheet1!Y54</f>
        <v>14</v>
      </c>
    </row>
    <row r="53" spans="1:17">
      <c r="A53">
        <f>Sheet1!A55</f>
        <v>54</v>
      </c>
      <c r="B53" t="str">
        <f>Sheet1!B55</f>
        <v xml:space="preserve">TMLR (under review) </v>
      </c>
      <c r="C53" t="str">
        <f>Sheet1!C55</f>
        <v xml:space="preserve"> A Survey on Model MoErging: Recycling and Routing Among Specialized Experts for Collaborative Learning</v>
      </c>
      <c r="D53" t="str">
        <f>Sheet1!E55</f>
        <v xml:space="preserve"> Prateek Yadav, Colin Raffel, Mohammed Muqeeth, Lucas Caccia, Haokun Liu, Tianlong Chen, Mohit Bansal, Leshem Choshen, Alessandro Sordoni</v>
      </c>
      <c r="E53">
        <f>Sheet1!F55</f>
        <v>2024</v>
      </c>
      <c r="F53">
        <f>F54+Sheet1!N55</f>
        <v>10</v>
      </c>
      <c r="G53">
        <f>G54+Sheet1!O55</f>
        <v>8</v>
      </c>
      <c r="H53">
        <f>H54+Sheet1!P55</f>
        <v>6</v>
      </c>
      <c r="I53">
        <f>I54+Sheet1!Q55</f>
        <v>5</v>
      </c>
      <c r="J53">
        <f>J54+Sheet1!R55</f>
        <v>6</v>
      </c>
      <c r="K53">
        <f>K54+Sheet1!S55</f>
        <v>7</v>
      </c>
      <c r="L53">
        <f>L54+Sheet1!T55</f>
        <v>8</v>
      </c>
      <c r="M53">
        <f>M54+Sheet1!U55</f>
        <v>5</v>
      </c>
      <c r="N53">
        <f>N54+Sheet1!V55</f>
        <v>10</v>
      </c>
      <c r="O53">
        <f>O54+Sheet1!W55</f>
        <v>11</v>
      </c>
      <c r="P53">
        <f>P54+Sheet1!X55</f>
        <v>10</v>
      </c>
      <c r="Q53">
        <f>Q54+Sheet1!Y55</f>
        <v>13</v>
      </c>
    </row>
    <row r="54" spans="1:17">
      <c r="A54">
        <f>Sheet1!A56</f>
        <v>55</v>
      </c>
      <c r="B54" t="str">
        <f>Sheet1!B56</f>
        <v xml:space="preserve">ARR (under review) </v>
      </c>
      <c r="C54" t="str">
        <f>Sheet1!C56</f>
        <v xml:space="preserve"> ​​Elements of World Knowledge (EWOK): A cognition</v>
      </c>
      <c r="D54" t="str">
        <f>Sheet1!E56</f>
        <v>inspired framework for evaluating basic world knowledge in language models” 5th from end, numerous authors.</v>
      </c>
      <c r="E54">
        <f>Sheet1!F56</f>
        <v>2024</v>
      </c>
      <c r="F54">
        <f>F55+Sheet1!N56</f>
        <v>10</v>
      </c>
      <c r="G54">
        <f>G55+Sheet1!O56</f>
        <v>8</v>
      </c>
      <c r="H54">
        <f>H55+Sheet1!P56</f>
        <v>6</v>
      </c>
      <c r="I54">
        <f>I55+Sheet1!Q56</f>
        <v>5</v>
      </c>
      <c r="J54">
        <f>J55+Sheet1!R56</f>
        <v>6</v>
      </c>
      <c r="K54">
        <f>K55+Sheet1!S56</f>
        <v>7</v>
      </c>
      <c r="L54">
        <f>L55+Sheet1!T56</f>
        <v>8</v>
      </c>
      <c r="M54">
        <f>M55+Sheet1!U56</f>
        <v>5</v>
      </c>
      <c r="N54">
        <f>N55+Sheet1!V56</f>
        <v>9</v>
      </c>
      <c r="O54">
        <f>O55+Sheet1!W56</f>
        <v>10</v>
      </c>
      <c r="P54">
        <f>P55+Sheet1!X56</f>
        <v>9</v>
      </c>
      <c r="Q54">
        <f>Q55+Sheet1!Y56</f>
        <v>12</v>
      </c>
    </row>
    <row r="55" spans="1:17">
      <c r="A55">
        <f>Sheet1!A57</f>
        <v>56</v>
      </c>
      <c r="B55" t="str">
        <f>Sheet1!B57</f>
        <v xml:space="preserve">ARR (under review) </v>
      </c>
      <c r="C55" t="str">
        <f>Sheet1!C57</f>
        <v xml:space="preserve"> Efficient multi-prompt evaluation of LLMs</v>
      </c>
      <c r="D55" t="str">
        <f>Sheet1!E57</f>
        <v>Felipe Maia Polo, Ronald Xu, Lucas Weber, Mírian Silva, Onkar Bhardwaj, Leshem Choshen, Allysson Flavio Melo de Oliveira, Yuekai Sun, Mikhail Yurochkin</v>
      </c>
      <c r="E55">
        <f>Sheet1!F57</f>
        <v>2024</v>
      </c>
      <c r="F55">
        <f>F56+Sheet1!N57</f>
        <v>9</v>
      </c>
      <c r="G55">
        <f>G56+Sheet1!O57</f>
        <v>8</v>
      </c>
      <c r="H55">
        <f>H56+Sheet1!P57</f>
        <v>6</v>
      </c>
      <c r="I55">
        <f>I56+Sheet1!Q57</f>
        <v>4</v>
      </c>
      <c r="J55">
        <f>J56+Sheet1!R57</f>
        <v>6</v>
      </c>
      <c r="K55">
        <f>K56+Sheet1!S57</f>
        <v>6</v>
      </c>
      <c r="L55">
        <f>L56+Sheet1!T57</f>
        <v>8</v>
      </c>
      <c r="M55">
        <f>M56+Sheet1!U57</f>
        <v>4</v>
      </c>
      <c r="N55">
        <f>N56+Sheet1!V57</f>
        <v>9</v>
      </c>
      <c r="O55">
        <f>O56+Sheet1!W57</f>
        <v>10</v>
      </c>
      <c r="P55">
        <f>P56+Sheet1!X57</f>
        <v>8</v>
      </c>
      <c r="Q55">
        <f>Q56+Sheet1!Y57</f>
        <v>11</v>
      </c>
    </row>
    <row r="56" spans="1:17">
      <c r="A56">
        <f>Sheet1!A58</f>
        <v>57</v>
      </c>
      <c r="B56" t="str">
        <f>Sheet1!B58</f>
        <v xml:space="preserve">ARR (under review) </v>
      </c>
      <c r="C56" t="str">
        <f>Sheet1!C58</f>
        <v xml:space="preserve"> NumeroLogic: Number Encoding for Enhanced LLMs' Numerical Reasoning</v>
      </c>
      <c r="D56" t="str">
        <f>Sheet1!E58</f>
        <v xml:space="preserve"> Eli Schwartz, Leshem Choshen, Joseph Shtok, Sivan Doveh, Leonid Karlinsky, Assaf Arbelle</v>
      </c>
      <c r="E56">
        <f>Sheet1!F58</f>
        <v>2024</v>
      </c>
      <c r="F56">
        <f>F57+Sheet1!N58</f>
        <v>8</v>
      </c>
      <c r="G56">
        <f>G57+Sheet1!O58</f>
        <v>8</v>
      </c>
      <c r="H56">
        <f>H57+Sheet1!P58</f>
        <v>5</v>
      </c>
      <c r="I56">
        <f>I57+Sheet1!Q58</f>
        <v>4</v>
      </c>
      <c r="J56">
        <f>J57+Sheet1!R58</f>
        <v>6</v>
      </c>
      <c r="K56">
        <f>K57+Sheet1!S58</f>
        <v>5</v>
      </c>
      <c r="L56">
        <f>L57+Sheet1!T58</f>
        <v>8</v>
      </c>
      <c r="M56">
        <f>M57+Sheet1!U58</f>
        <v>4</v>
      </c>
      <c r="N56">
        <f>N57+Sheet1!V58</f>
        <v>9</v>
      </c>
      <c r="O56">
        <f>O57+Sheet1!W58</f>
        <v>10</v>
      </c>
      <c r="P56">
        <f>P57+Sheet1!X58</f>
        <v>7</v>
      </c>
      <c r="Q56">
        <f>Q57+Sheet1!Y58</f>
        <v>10</v>
      </c>
    </row>
    <row r="57" spans="1:17">
      <c r="A57">
        <f>Sheet1!A59</f>
        <v>58</v>
      </c>
      <c r="B57" t="str">
        <f>Sheet1!B59</f>
        <v xml:space="preserve">ARR (under review) </v>
      </c>
      <c r="C57" t="str">
        <f>Sheet1!C59</f>
        <v xml:space="preserve"> Lossless and Near Lossless Compression for Foundation Models</v>
      </c>
      <c r="D57" t="str">
        <f>Sheet1!E59</f>
        <v>Moshik Hershcovitch, Leshem Choshen, Andrew Wood, Ilias Enmouri, Peter Chin, Swaminathan Sundararaman, Danny Harnik</v>
      </c>
      <c r="E57">
        <f>Sheet1!F59</f>
        <v>2024</v>
      </c>
      <c r="F57">
        <f>F58+Sheet1!N59</f>
        <v>8</v>
      </c>
      <c r="G57">
        <f>G58+Sheet1!O59</f>
        <v>8</v>
      </c>
      <c r="H57">
        <f>H58+Sheet1!P59</f>
        <v>4</v>
      </c>
      <c r="I57">
        <f>I58+Sheet1!Q59</f>
        <v>4</v>
      </c>
      <c r="J57">
        <f>J58+Sheet1!R59</f>
        <v>5</v>
      </c>
      <c r="K57">
        <f>K58+Sheet1!S59</f>
        <v>5</v>
      </c>
      <c r="L57">
        <f>L58+Sheet1!T59</f>
        <v>8</v>
      </c>
      <c r="M57">
        <f>M58+Sheet1!U59</f>
        <v>4</v>
      </c>
      <c r="N57">
        <f>N58+Sheet1!V59</f>
        <v>9</v>
      </c>
      <c r="O57">
        <f>O58+Sheet1!W59</f>
        <v>10</v>
      </c>
      <c r="P57">
        <f>P58+Sheet1!X59</f>
        <v>7</v>
      </c>
      <c r="Q57">
        <f>Q58+Sheet1!Y59</f>
        <v>10</v>
      </c>
    </row>
    <row r="58" spans="1:17">
      <c r="A58">
        <f>Sheet1!A60</f>
        <v>59</v>
      </c>
      <c r="B58" t="str">
        <f>Sheet1!B60</f>
        <v xml:space="preserve">ARR (under review) </v>
      </c>
      <c r="C58" t="str">
        <f>Sheet1!C60</f>
        <v xml:space="preserve"> Beneath the Surface of Consistency: Exploring Cross-lingual Knowledge Representation Sharing in LLMs”</v>
      </c>
      <c r="D58" t="str">
        <f>Sheet1!E60</f>
        <v xml:space="preserve"> M Ifergan, L Choshen, R Aharoni, I Szpektor, O Abend</v>
      </c>
      <c r="E58">
        <f>Sheet1!F60</f>
        <v>2024</v>
      </c>
      <c r="F58">
        <f>F59+Sheet1!N60</f>
        <v>7</v>
      </c>
      <c r="G58">
        <f>G59+Sheet1!O60</f>
        <v>7</v>
      </c>
      <c r="H58">
        <f>H59+Sheet1!P60</f>
        <v>3</v>
      </c>
      <c r="I58">
        <f>I59+Sheet1!Q60</f>
        <v>4</v>
      </c>
      <c r="J58">
        <f>J59+Sheet1!R60</f>
        <v>5</v>
      </c>
      <c r="K58">
        <f>K59+Sheet1!S60</f>
        <v>5</v>
      </c>
      <c r="L58">
        <f>L59+Sheet1!T60</f>
        <v>8</v>
      </c>
      <c r="M58">
        <f>M59+Sheet1!U60</f>
        <v>4</v>
      </c>
      <c r="N58">
        <f>N59+Sheet1!V60</f>
        <v>9</v>
      </c>
      <c r="O58">
        <f>O59+Sheet1!W60</f>
        <v>10</v>
      </c>
      <c r="P58">
        <f>P59+Sheet1!X60</f>
        <v>7</v>
      </c>
      <c r="Q58">
        <f>Q59+Sheet1!Y60</f>
        <v>9</v>
      </c>
    </row>
    <row r="59" spans="1:17">
      <c r="A59">
        <f>Sheet1!A61</f>
        <v>60</v>
      </c>
      <c r="B59" t="str">
        <f>Sheet1!B61</f>
        <v xml:space="preserve">ARR (under review) </v>
      </c>
      <c r="C59" t="str">
        <f>Sheet1!C61</f>
        <v xml:space="preserve"> Can You Trust Your Metric? Automatic Concatenation</v>
      </c>
      <c r="D59" t="str">
        <f>Sheet1!E61</f>
        <v>Based Tests for Metric Validity” ON Fandina, L Choshen, E Farchi, G Kour, Y Perlitz, O Raz</v>
      </c>
      <c r="E59">
        <f>Sheet1!F61</f>
        <v>2024</v>
      </c>
      <c r="F59">
        <f>F60+Sheet1!N61</f>
        <v>7</v>
      </c>
      <c r="G59">
        <f>G60+Sheet1!O61</f>
        <v>6</v>
      </c>
      <c r="H59">
        <f>H60+Sheet1!P61</f>
        <v>3</v>
      </c>
      <c r="I59">
        <f>I60+Sheet1!Q61</f>
        <v>3</v>
      </c>
      <c r="J59">
        <f>J60+Sheet1!R61</f>
        <v>5</v>
      </c>
      <c r="K59">
        <f>K60+Sheet1!S61</f>
        <v>5</v>
      </c>
      <c r="L59">
        <f>L60+Sheet1!T61</f>
        <v>8</v>
      </c>
      <c r="M59">
        <f>M60+Sheet1!U61</f>
        <v>4</v>
      </c>
      <c r="N59">
        <f>N60+Sheet1!V61</f>
        <v>9</v>
      </c>
      <c r="O59">
        <f>O60+Sheet1!W61</f>
        <v>10</v>
      </c>
      <c r="P59">
        <f>P60+Sheet1!X61</f>
        <v>7</v>
      </c>
      <c r="Q59">
        <f>Q60+Sheet1!Y61</f>
        <v>9</v>
      </c>
    </row>
    <row r="60" spans="1:17">
      <c r="A60">
        <f>Sheet1!A62</f>
        <v>61</v>
      </c>
      <c r="B60" t="str">
        <f>Sheet1!B62</f>
        <v xml:space="preserve">ARR (under review) </v>
      </c>
      <c r="C60" t="str">
        <f>Sheet1!C62</f>
        <v xml:space="preserve"> The ShareLM Collection and Plugin: Contributing Human-Model Chats for the Benefit of the Community</v>
      </c>
      <c r="D60" t="str">
        <f>Sheet1!E62</f>
        <v xml:space="preserve"> Shachar Don-Yehiya, Leshem Choshen, Omri Abend</v>
      </c>
      <c r="E60">
        <f>Sheet1!F62</f>
        <v>2024</v>
      </c>
      <c r="F60">
        <f>F61+Sheet1!N62</f>
        <v>7</v>
      </c>
      <c r="G60">
        <f>G61+Sheet1!O62</f>
        <v>6</v>
      </c>
      <c r="H60">
        <f>H61+Sheet1!P62</f>
        <v>3</v>
      </c>
      <c r="I60">
        <f>I61+Sheet1!Q62</f>
        <v>3</v>
      </c>
      <c r="J60">
        <f>J61+Sheet1!R62</f>
        <v>5</v>
      </c>
      <c r="K60">
        <f>K61+Sheet1!S62</f>
        <v>4</v>
      </c>
      <c r="L60">
        <f>L61+Sheet1!T62</f>
        <v>8</v>
      </c>
      <c r="M60">
        <f>M61+Sheet1!U62</f>
        <v>4</v>
      </c>
      <c r="N60">
        <f>N61+Sheet1!V62</f>
        <v>9</v>
      </c>
      <c r="O60">
        <f>O61+Sheet1!W62</f>
        <v>9</v>
      </c>
      <c r="P60">
        <f>P61+Sheet1!X62</f>
        <v>7</v>
      </c>
      <c r="Q60">
        <f>Q61+Sheet1!Y62</f>
        <v>9</v>
      </c>
    </row>
    <row r="61" spans="1:17">
      <c r="A61">
        <f>Sheet1!A63</f>
        <v>62</v>
      </c>
      <c r="B61" t="str">
        <f>Sheet1!B63</f>
        <v xml:space="preserve">ARR (under review) </v>
      </c>
      <c r="C61" t="str">
        <f>Sheet1!C63</f>
        <v xml:space="preserve"> Learning from Naturally Occurring Feedback</v>
      </c>
      <c r="D61" t="str">
        <f>Sheet1!E63</f>
        <v xml:space="preserve"> Shachar DonYehiya, Leshem Choshen, Omri Abend</v>
      </c>
      <c r="E61">
        <f>Sheet1!F63</f>
        <v>2024</v>
      </c>
      <c r="F61">
        <f>F62+Sheet1!N63</f>
        <v>6</v>
      </c>
      <c r="G61">
        <f>G62+Sheet1!O63</f>
        <v>6</v>
      </c>
      <c r="H61">
        <f>H62+Sheet1!P63</f>
        <v>3</v>
      </c>
      <c r="I61">
        <f>I62+Sheet1!Q63</f>
        <v>2</v>
      </c>
      <c r="J61">
        <f>J62+Sheet1!R63</f>
        <v>5</v>
      </c>
      <c r="K61">
        <f>K62+Sheet1!S63</f>
        <v>4</v>
      </c>
      <c r="L61">
        <f>L62+Sheet1!T63</f>
        <v>7</v>
      </c>
      <c r="M61">
        <f>M62+Sheet1!U63</f>
        <v>3</v>
      </c>
      <c r="N61">
        <f>N62+Sheet1!V63</f>
        <v>8</v>
      </c>
      <c r="O61">
        <f>O62+Sheet1!W63</f>
        <v>8</v>
      </c>
      <c r="P61">
        <f>P62+Sheet1!X63</f>
        <v>6</v>
      </c>
      <c r="Q61">
        <f>Q62+Sheet1!Y63</f>
        <v>8</v>
      </c>
    </row>
    <row r="62" spans="1:17">
      <c r="A62">
        <f>Sheet1!A64</f>
        <v>63</v>
      </c>
      <c r="B62" t="str">
        <f>Sheet1!B64</f>
        <v xml:space="preserve">ARR^ (under review) </v>
      </c>
      <c r="C62" t="str">
        <f>Sheet1!C64</f>
        <v xml:space="preserve"> Benchmark Agreement Testing Done Right: A Guide for LLM Benchmark Evaluation</v>
      </c>
      <c r="D62" t="str">
        <f>Sheet1!E64</f>
        <v xml:space="preserve"> Yotam Perlitz, Ariel Gera, Ofir Arviv, Asaf Yehudai, Elron Bandel, Eyal Shnarch, Michal ShmueliScheuer, Leshem Choshen</v>
      </c>
      <c r="E62">
        <f>Sheet1!F64</f>
        <v>2024</v>
      </c>
      <c r="F62">
        <f>F63+Sheet1!N64</f>
        <v>5</v>
      </c>
      <c r="G62">
        <f>G63+Sheet1!O64</f>
        <v>6</v>
      </c>
      <c r="H62">
        <f>H63+Sheet1!P64</f>
        <v>2</v>
      </c>
      <c r="I62">
        <f>I63+Sheet1!Q64</f>
        <v>1</v>
      </c>
      <c r="J62">
        <f>J63+Sheet1!R64</f>
        <v>5</v>
      </c>
      <c r="K62">
        <f>K63+Sheet1!S64</f>
        <v>4</v>
      </c>
      <c r="L62">
        <f>L63+Sheet1!T64</f>
        <v>7</v>
      </c>
      <c r="M62">
        <f>M63+Sheet1!U64</f>
        <v>2</v>
      </c>
      <c r="N62">
        <f>N63+Sheet1!V64</f>
        <v>7</v>
      </c>
      <c r="O62">
        <f>O63+Sheet1!W64</f>
        <v>8</v>
      </c>
      <c r="P62">
        <f>P63+Sheet1!X64</f>
        <v>6</v>
      </c>
      <c r="Q62">
        <f>Q63+Sheet1!Y64</f>
        <v>7</v>
      </c>
    </row>
    <row r="63" spans="1:17">
      <c r="A63">
        <f>Sheet1!A65</f>
        <v>64</v>
      </c>
      <c r="B63" t="str">
        <f>Sheet1!B65</f>
        <v xml:space="preserve">ICLR (under review) </v>
      </c>
      <c r="C63" t="str">
        <f>Sheet1!C65</f>
        <v xml:space="preserve"> Compress then Serve: Serving Thousands of LoRA Adapters with Little Overhead</v>
      </c>
      <c r="D63" t="str">
        <f>Sheet1!E65</f>
        <v xml:space="preserve"> Rickard BrüelGabrielsson, Jiacheng Zhu, Onkar Bhardwaj, Leshem Choshen, Kristjan Greenewald, Mikhail Yurochkin, Justin Solomon</v>
      </c>
      <c r="E63">
        <f>Sheet1!F65</f>
        <v>2024</v>
      </c>
      <c r="F63">
        <f>F64+Sheet1!N65</f>
        <v>4</v>
      </c>
      <c r="G63">
        <f>G64+Sheet1!O65</f>
        <v>6</v>
      </c>
      <c r="H63">
        <f>H64+Sheet1!P65</f>
        <v>2</v>
      </c>
      <c r="I63">
        <f>I64+Sheet1!Q65</f>
        <v>1</v>
      </c>
      <c r="J63">
        <f>J64+Sheet1!R65</f>
        <v>5</v>
      </c>
      <c r="K63">
        <f>K64+Sheet1!S65</f>
        <v>3</v>
      </c>
      <c r="L63">
        <f>L64+Sheet1!T65</f>
        <v>7</v>
      </c>
      <c r="M63">
        <f>M64+Sheet1!U65</f>
        <v>2</v>
      </c>
      <c r="N63">
        <f>N64+Sheet1!V65</f>
        <v>6</v>
      </c>
      <c r="O63">
        <f>O64+Sheet1!W65</f>
        <v>7</v>
      </c>
      <c r="P63">
        <f>P64+Sheet1!X65</f>
        <v>6</v>
      </c>
      <c r="Q63">
        <f>Q64+Sheet1!Y65</f>
        <v>7</v>
      </c>
    </row>
    <row r="64" spans="1:17">
      <c r="A64">
        <f>Sheet1!A66</f>
        <v>65</v>
      </c>
      <c r="B64" t="str">
        <f>Sheet1!B66</f>
        <v xml:space="preserve">JML (under review) </v>
      </c>
      <c r="C64" t="str">
        <f>Sheet1!C66</f>
        <v xml:space="preserve"> Bigger is not always better: The importance of human-scale language modeling for psycholinguistics</v>
      </c>
      <c r="D64" t="str">
        <f>Sheet1!E66</f>
        <v>Ethan Gotlieb Wilcox, Michael Hu, Aaron Mueller, Tal Linzen, Alex Warstadt, Leshem Choshen, Chengxu Zhuang, Ryan Cotterell, Adina Williams</v>
      </c>
      <c r="E64">
        <f>Sheet1!F66</f>
        <v>2024</v>
      </c>
      <c r="F64">
        <f>F65+Sheet1!N66</f>
        <v>3</v>
      </c>
      <c r="G64">
        <f>G65+Sheet1!O66</f>
        <v>5</v>
      </c>
      <c r="H64">
        <f>H65+Sheet1!P66</f>
        <v>1</v>
      </c>
      <c r="I64">
        <f>I65+Sheet1!Q66</f>
        <v>0</v>
      </c>
      <c r="J64">
        <f>J65+Sheet1!R66</f>
        <v>5</v>
      </c>
      <c r="K64">
        <f>K65+Sheet1!S66</f>
        <v>3</v>
      </c>
      <c r="L64">
        <f>L65+Sheet1!T66</f>
        <v>7</v>
      </c>
      <c r="M64">
        <f>M65+Sheet1!U66</f>
        <v>2</v>
      </c>
      <c r="N64">
        <f>N65+Sheet1!V66</f>
        <v>6</v>
      </c>
      <c r="O64">
        <f>O65+Sheet1!W66</f>
        <v>7</v>
      </c>
      <c r="P64">
        <f>P65+Sheet1!X66</f>
        <v>6</v>
      </c>
      <c r="Q64">
        <f>Q65+Sheet1!Y66</f>
        <v>6</v>
      </c>
    </row>
    <row r="65" spans="1:17">
      <c r="A65">
        <f>Sheet1!A67</f>
        <v>66</v>
      </c>
      <c r="B65" t="str">
        <f>Sheet1!B67</f>
        <v xml:space="preserve">EMNLP (under review) </v>
      </c>
      <c r="C65" t="str">
        <f>Sheet1!C67</f>
        <v xml:space="preserve"> Fuse to Forget: Bias Reduction and Selective Memorization through Model Fusion</v>
      </c>
      <c r="D65" t="str">
        <f>Sheet1!E67</f>
        <v xml:space="preserve"> Kerem Zaman, Leshem Choshen, Shashank Srivastava</v>
      </c>
      <c r="E65">
        <f>Sheet1!F67</f>
        <v>2024</v>
      </c>
      <c r="F65">
        <f>F66+Sheet1!N67</f>
        <v>3</v>
      </c>
      <c r="G65">
        <f>G66+Sheet1!O67</f>
        <v>4</v>
      </c>
      <c r="H65">
        <f>H66+Sheet1!P67</f>
        <v>1</v>
      </c>
      <c r="I65">
        <f>I66+Sheet1!Q67</f>
        <v>0</v>
      </c>
      <c r="J65">
        <f>J66+Sheet1!R67</f>
        <v>4</v>
      </c>
      <c r="K65">
        <f>K66+Sheet1!S67</f>
        <v>3</v>
      </c>
      <c r="L65">
        <f>L66+Sheet1!T67</f>
        <v>6</v>
      </c>
      <c r="M65">
        <f>M66+Sheet1!U67</f>
        <v>1</v>
      </c>
      <c r="N65">
        <f>N66+Sheet1!V67</f>
        <v>5</v>
      </c>
      <c r="O65">
        <f>O66+Sheet1!W67</f>
        <v>6</v>
      </c>
      <c r="P65">
        <f>P66+Sheet1!X67</f>
        <v>5</v>
      </c>
      <c r="Q65">
        <f>Q66+Sheet1!Y67</f>
        <v>5</v>
      </c>
    </row>
    <row r="66" spans="1:17">
      <c r="A66">
        <f>Sheet1!A68</f>
        <v>67</v>
      </c>
      <c r="B66" t="str">
        <f>Sheet1!B68</f>
        <v xml:space="preserve">Nature Machine Intelligence^ (under review)  </v>
      </c>
      <c r="C66" t="str">
        <f>Sheet1!C68</f>
        <v>The Future of Open Human Feedback</v>
      </c>
      <c r="D66" t="str">
        <f>Sheet1!E68</f>
        <v>Many authors, led by me.</v>
      </c>
      <c r="E66">
        <f>Sheet1!F68</f>
        <v>2024</v>
      </c>
      <c r="F66">
        <f>F67+Sheet1!N68</f>
        <v>3</v>
      </c>
      <c r="G66">
        <f>G67+Sheet1!O68</f>
        <v>3</v>
      </c>
      <c r="H66">
        <f>H67+Sheet1!P68</f>
        <v>1</v>
      </c>
      <c r="I66">
        <f>I67+Sheet1!Q68</f>
        <v>0</v>
      </c>
      <c r="J66">
        <f>J67+Sheet1!R68</f>
        <v>4</v>
      </c>
      <c r="K66">
        <f>K67+Sheet1!S68</f>
        <v>3</v>
      </c>
      <c r="L66">
        <f>L67+Sheet1!T68</f>
        <v>5</v>
      </c>
      <c r="M66">
        <f>M67+Sheet1!U68</f>
        <v>1</v>
      </c>
      <c r="N66">
        <f>N67+Sheet1!V68</f>
        <v>4</v>
      </c>
      <c r="O66">
        <f>O67+Sheet1!W68</f>
        <v>5</v>
      </c>
      <c r="P66">
        <f>P67+Sheet1!X68</f>
        <v>4</v>
      </c>
      <c r="Q66">
        <f>Q67+Sheet1!Y68</f>
        <v>4</v>
      </c>
    </row>
    <row r="67" spans="1:17">
      <c r="A67">
        <f>Sheet1!A69</f>
        <v>68</v>
      </c>
      <c r="B67" t="str">
        <f>Sheet1!B69</f>
        <v>CoLM</v>
      </c>
      <c r="C67" t="str">
        <f>Sheet1!C69</f>
        <v>Unforgettable Generalization in Language Models</v>
      </c>
      <c r="D67" t="str">
        <f>Sheet1!E69</f>
        <v>Eric Zhang, Leshem Chosen, Jacob Andreas</v>
      </c>
      <c r="E67">
        <f>Sheet1!F69</f>
        <v>2024</v>
      </c>
      <c r="F67">
        <f>F68+Sheet1!N69</f>
        <v>3</v>
      </c>
      <c r="G67">
        <f>G68+Sheet1!O69</f>
        <v>3</v>
      </c>
      <c r="H67">
        <f>H68+Sheet1!P69</f>
        <v>1</v>
      </c>
      <c r="I67">
        <f>I68+Sheet1!Q69</f>
        <v>0</v>
      </c>
      <c r="J67">
        <f>J68+Sheet1!R69</f>
        <v>4</v>
      </c>
      <c r="K67">
        <f>K68+Sheet1!S69</f>
        <v>3</v>
      </c>
      <c r="L67">
        <f>L68+Sheet1!T69</f>
        <v>4</v>
      </c>
      <c r="M67">
        <f>M68+Sheet1!U69</f>
        <v>1</v>
      </c>
      <c r="N67">
        <f>N68+Sheet1!V69</f>
        <v>3</v>
      </c>
      <c r="O67">
        <f>O68+Sheet1!W69</f>
        <v>4</v>
      </c>
      <c r="P67">
        <f>P68+Sheet1!X69</f>
        <v>3</v>
      </c>
      <c r="Q67">
        <f>Q68+Sheet1!Y69</f>
        <v>4</v>
      </c>
    </row>
    <row r="68" spans="1:17">
      <c r="A68">
        <f>Sheet1!A70</f>
        <v>69</v>
      </c>
      <c r="B68" t="str">
        <f>Sheet1!B70</f>
        <v>ICLR (under review)</v>
      </c>
      <c r="C68" t="str">
        <f>Sheet1!C70</f>
        <v>Compeft: Compression for communicating parameter efficient updates via sparsification and quantization</v>
      </c>
      <c r="D68" t="str">
        <f>Sheet1!E70</f>
        <v>Prateek Yadav, Leshem Choshen, Colin Raffel, Mohit Bansal</v>
      </c>
      <c r="E68">
        <f>Sheet1!F70</f>
        <v>2024</v>
      </c>
      <c r="F68">
        <f>F69+Sheet1!N70</f>
        <v>3</v>
      </c>
      <c r="G68">
        <f>G69+Sheet1!O70</f>
        <v>2</v>
      </c>
      <c r="H68">
        <f>H69+Sheet1!P70</f>
        <v>1</v>
      </c>
      <c r="I68">
        <f>I69+Sheet1!Q70</f>
        <v>0</v>
      </c>
      <c r="J68">
        <f>J69+Sheet1!R70</f>
        <v>3</v>
      </c>
      <c r="K68">
        <f>K69+Sheet1!S70</f>
        <v>3</v>
      </c>
      <c r="L68">
        <f>L69+Sheet1!T70</f>
        <v>4</v>
      </c>
      <c r="M68">
        <f>M69+Sheet1!U70</f>
        <v>1</v>
      </c>
      <c r="N68">
        <f>N69+Sheet1!V70</f>
        <v>3</v>
      </c>
      <c r="O68">
        <f>O69+Sheet1!W70</f>
        <v>4</v>
      </c>
      <c r="P68">
        <f>P69+Sheet1!X70</f>
        <v>3</v>
      </c>
      <c r="Q68">
        <f>Q69+Sheet1!Y70</f>
        <v>4</v>
      </c>
    </row>
    <row r="69" spans="1:17">
      <c r="A69">
        <f>Sheet1!A72</f>
        <v>71</v>
      </c>
      <c r="B69" t="str">
        <f>Sheet1!B72</f>
        <v>ICML</v>
      </c>
      <c r="C69" t="str">
        <f>Sheet1!C72</f>
        <v>Hild</v>
      </c>
      <c r="D69" t="str">
        <f>Sheet1!E72</f>
        <v>Leshem, Choshen and Atish, Agarwala and Naomi, Saphra and Boaz, Barak and Courtney, Paquette and Gowthami, Sompalli and Rosie, Zhao and Depen, Morwani and Mengzhou, Xia and Shikhar, Murty and Swabha, Swayamdipta and Tom, Goldstein</v>
      </c>
      <c r="E69">
        <f>Sheet1!F72</f>
        <v>2024</v>
      </c>
      <c r="F69">
        <f>F70+Sheet1!N72</f>
        <v>3</v>
      </c>
      <c r="G69">
        <f>G70+Sheet1!O72</f>
        <v>1</v>
      </c>
      <c r="H69">
        <f>H70+Sheet1!P72</f>
        <v>0</v>
      </c>
      <c r="I69">
        <f>I70+Sheet1!Q72</f>
        <v>0</v>
      </c>
      <c r="J69">
        <f>J70+Sheet1!R72</f>
        <v>3</v>
      </c>
      <c r="K69">
        <f>K70+Sheet1!S72</f>
        <v>3</v>
      </c>
      <c r="L69">
        <f>L70+Sheet1!T72</f>
        <v>4</v>
      </c>
      <c r="M69">
        <f>M70+Sheet1!U72</f>
        <v>1</v>
      </c>
      <c r="N69">
        <f>N70+Sheet1!V72</f>
        <v>3</v>
      </c>
      <c r="O69">
        <f>O70+Sheet1!W72</f>
        <v>4</v>
      </c>
      <c r="P69">
        <f>P70+Sheet1!X72</f>
        <v>3</v>
      </c>
      <c r="Q69">
        <f>Q70+Sheet1!Y72</f>
        <v>3</v>
      </c>
    </row>
    <row r="70" spans="1:17">
      <c r="A70">
        <f>Sheet1!A76</f>
        <v>75</v>
      </c>
      <c r="B70" t="str">
        <f>Sheet1!B76</f>
        <v>CoNLL</v>
      </c>
      <c r="C70" t="str">
        <f>Sheet1!C76</f>
        <v>BabyLM 2nd</v>
      </c>
      <c r="D70">
        <f>Sheet1!E76</f>
        <v>0</v>
      </c>
      <c r="E70">
        <f>Sheet1!F76</f>
        <v>2024</v>
      </c>
      <c r="F70">
        <f>F71+Sheet1!N76</f>
        <v>3</v>
      </c>
      <c r="G70">
        <f>G71+Sheet1!O76</f>
        <v>0</v>
      </c>
      <c r="H70">
        <f>H71+Sheet1!P76</f>
        <v>0</v>
      </c>
      <c r="I70">
        <f>I71+Sheet1!Q76</f>
        <v>0</v>
      </c>
      <c r="J70">
        <f>J71+Sheet1!R76</f>
        <v>3</v>
      </c>
      <c r="K70">
        <f>K71+Sheet1!S76</f>
        <v>3</v>
      </c>
      <c r="L70">
        <f>L71+Sheet1!T76</f>
        <v>3</v>
      </c>
      <c r="M70">
        <f>M71+Sheet1!U76</f>
        <v>1</v>
      </c>
      <c r="N70">
        <f>N71+Sheet1!V76</f>
        <v>3</v>
      </c>
      <c r="O70">
        <f>O71+Sheet1!W76</f>
        <v>3</v>
      </c>
      <c r="P70">
        <f>P71+Sheet1!X76</f>
        <v>3</v>
      </c>
      <c r="Q70">
        <f>Q71+Sheet1!Y76</f>
        <v>3</v>
      </c>
    </row>
    <row r="71" spans="1:17">
      <c r="A71">
        <f>Sheet1!A77</f>
        <v>76</v>
      </c>
      <c r="B71" t="str">
        <f>Sheet1!B77</f>
        <v>Neurips</v>
      </c>
      <c r="C71" t="str">
        <f>Sheet1!C77</f>
        <v>Model Merging Competition</v>
      </c>
      <c r="D71">
        <f>Sheet1!E77</f>
        <v>0</v>
      </c>
      <c r="E71">
        <f>Sheet1!F77</f>
        <v>2024</v>
      </c>
      <c r="F71">
        <f>F72+Sheet1!N77</f>
        <v>2</v>
      </c>
      <c r="G71">
        <f>G72+Sheet1!O77</f>
        <v>0</v>
      </c>
      <c r="H71">
        <f>H72+Sheet1!P77</f>
        <v>0</v>
      </c>
      <c r="I71">
        <f>I72+Sheet1!Q77</f>
        <v>0</v>
      </c>
      <c r="J71">
        <f>J72+Sheet1!R77</f>
        <v>2</v>
      </c>
      <c r="K71">
        <f>K72+Sheet1!S77</f>
        <v>2</v>
      </c>
      <c r="L71">
        <f>L72+Sheet1!T77</f>
        <v>2</v>
      </c>
      <c r="M71">
        <f>M72+Sheet1!U77</f>
        <v>0</v>
      </c>
      <c r="N71">
        <f>N72+Sheet1!V77</f>
        <v>2</v>
      </c>
      <c r="O71">
        <f>O72+Sheet1!W77</f>
        <v>2</v>
      </c>
      <c r="P71">
        <f>P72+Sheet1!X77</f>
        <v>2</v>
      </c>
      <c r="Q71">
        <f>Q72+Sheet1!Y77</f>
        <v>2</v>
      </c>
    </row>
    <row r="72" spans="1:17">
      <c r="A72">
        <f>Sheet1!A78</f>
        <v>77</v>
      </c>
      <c r="B72" t="str">
        <f>Sheet1!B78</f>
        <v>ICLR (under review)</v>
      </c>
      <c r="C72" t="str">
        <f>Sheet1!C78</f>
        <v>Super Tiny Language Models</v>
      </c>
      <c r="D72">
        <f>Sheet1!E78</f>
        <v>0</v>
      </c>
      <c r="E72">
        <f>Sheet1!F78</f>
        <v>2024</v>
      </c>
      <c r="F72">
        <f>F73+Sheet1!N78</f>
        <v>1</v>
      </c>
      <c r="G72">
        <f>G73+Sheet1!O78</f>
        <v>0</v>
      </c>
      <c r="H72">
        <f>H73+Sheet1!P78</f>
        <v>0</v>
      </c>
      <c r="I72">
        <f>I73+Sheet1!Q78</f>
        <v>0</v>
      </c>
      <c r="J72">
        <f>J73+Sheet1!R78</f>
        <v>1</v>
      </c>
      <c r="K72">
        <f>K73+Sheet1!S78</f>
        <v>1</v>
      </c>
      <c r="L72">
        <f>L73+Sheet1!T78</f>
        <v>1</v>
      </c>
      <c r="M72">
        <f>M73+Sheet1!U78</f>
        <v>0</v>
      </c>
      <c r="N72">
        <f>N73+Sheet1!V78</f>
        <v>1</v>
      </c>
      <c r="O72">
        <f>O73+Sheet1!W78</f>
        <v>1</v>
      </c>
      <c r="P72">
        <f>P73+Sheet1!X78</f>
        <v>1</v>
      </c>
      <c r="Q72">
        <f>Q73+Sheet1!Y78</f>
        <v>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96503-AA28-CD44-BC91-DEE88A99EE8F}">
  <dimension ref="A1:Q72"/>
  <sheetViews>
    <sheetView topLeftCell="A23" workbookViewId="0">
      <selection activeCell="B21" sqref="B21"/>
    </sheetView>
  </sheetViews>
  <sheetFormatPr baseColWidth="10" defaultRowHeight="16"/>
  <sheetData>
    <row r="1" spans="1:17">
      <c r="A1" t="str">
        <f>Sheet1!A1</f>
        <v>Time of publish ID</v>
      </c>
      <c r="B1" t="str">
        <f>Sheet1!B1</f>
        <v>Venue</v>
      </c>
      <c r="C1" t="str">
        <f>Sheet1!C1</f>
        <v>Name</v>
      </c>
      <c r="D1" t="str">
        <f>Sheet1!E1</f>
        <v>Authors</v>
      </c>
      <c r="E1" t="str">
        <f>Sheet1!F1</f>
        <v>year</v>
      </c>
      <c r="F1" t="str">
        <f>Sheet1!N1</f>
        <v>Resources</v>
      </c>
      <c r="G1" t="str">
        <f>Sheet1!O1</f>
        <v>The Science of Deep Learning</v>
      </c>
      <c r="H1" t="str">
        <f>Sheet1!P1</f>
        <v>Methods</v>
      </c>
      <c r="I1" t="str">
        <f>Sheet1!Q1</f>
        <v>Dataset</v>
      </c>
      <c r="J1" t="str">
        <f>Sheet1!R1</f>
        <v>Training</v>
      </c>
      <c r="K1" t="str">
        <f>Sheet1!S1</f>
        <v>Evaluation</v>
      </c>
      <c r="L1" t="str">
        <f>Sheet1!T1</f>
        <v>Shared-task\effort</v>
      </c>
      <c r="M1" t="str">
        <f>Sheet1!U1</f>
        <v>Language&amp;Cognition</v>
      </c>
      <c r="N1" t="str">
        <f>Sheet1!V1</f>
        <v>Open</v>
      </c>
      <c r="O1" t="str">
        <f>Sheet1!W1</f>
        <v>Meta-science</v>
      </c>
      <c r="P1" t="str">
        <f>Sheet1!X1</f>
        <v>Enabling Low Budget Research</v>
      </c>
      <c r="Q1" t="str">
        <f>Sheet1!Y1</f>
        <v>Efficiency</v>
      </c>
    </row>
    <row r="2" spans="1:17">
      <c r="A2">
        <f>Sheet1!A2</f>
        <v>1</v>
      </c>
      <c r="B2" t="str">
        <f>Sheet1!B2</f>
        <v xml:space="preserve">ICLR 2018* </v>
      </c>
      <c r="C2" t="str">
        <f>Sheet1!C2</f>
        <v xml:space="preserve"> DORA The Explorer: Directed Outreaching Reinforcement Action</v>
      </c>
      <c r="D2" t="str">
        <f>Sheet1!E2</f>
        <v>Leshem Choshen, Lior Fox, Yonatan Loewenstein</v>
      </c>
      <c r="E2">
        <f>Sheet1!F2</f>
        <v>2018</v>
      </c>
      <c r="F2">
        <f>Commulative!F2/Commulative!$A2</f>
        <v>34</v>
      </c>
      <c r="G2">
        <f>Commulative!G2/Commulative!$A2</f>
        <v>38</v>
      </c>
      <c r="H2">
        <f>Commulative!H2/Commulative!$A2</f>
        <v>38</v>
      </c>
      <c r="I2">
        <f>Commulative!I2/Commulative!$A2</f>
        <v>17</v>
      </c>
      <c r="J2">
        <f>Commulative!J2/Commulative!$A2</f>
        <v>28</v>
      </c>
      <c r="K2">
        <f>Commulative!K2/Commulative!$A2</f>
        <v>33</v>
      </c>
      <c r="L2">
        <f>Commulative!L2/Commulative!$A2</f>
        <v>15</v>
      </c>
      <c r="M2">
        <f>Commulative!M2/Commulative!$A2</f>
        <v>30</v>
      </c>
      <c r="N2">
        <f>Commulative!N2/Commulative!$A2</f>
        <v>27</v>
      </c>
      <c r="O2">
        <f>Commulative!O2/Commulative!$A2</f>
        <v>30</v>
      </c>
      <c r="P2">
        <f>Commulative!P2/Commulative!$A2</f>
        <v>29</v>
      </c>
      <c r="Q2">
        <f>Commulative!Q2/Commulative!$A2</f>
        <v>35</v>
      </c>
    </row>
    <row r="3" spans="1:17">
      <c r="A3">
        <f>Sheet1!A3</f>
        <v>2</v>
      </c>
      <c r="B3" t="str">
        <f>Sheet1!B3</f>
        <v>NAACL-HLT 2018*</v>
      </c>
      <c r="C3" t="str">
        <f>Sheet1!C3</f>
        <v>Reference-less Measure of Faithfulness for Grammatical Error Correction</v>
      </c>
      <c r="D3" t="str">
        <f>Sheet1!E3</f>
        <v>Leshem Choshen, Omri Abend</v>
      </c>
      <c r="E3">
        <f>Sheet1!F3</f>
        <v>2018</v>
      </c>
      <c r="F3">
        <f>Commulative!F3/Commulative!$A3</f>
        <v>17</v>
      </c>
      <c r="G3">
        <f>Commulative!G3/Commulative!$A3</f>
        <v>19</v>
      </c>
      <c r="H3">
        <f>Commulative!H3/Commulative!$A3</f>
        <v>18.5</v>
      </c>
      <c r="I3">
        <f>Commulative!I3/Commulative!$A3</f>
        <v>8.5</v>
      </c>
      <c r="J3">
        <f>Commulative!J3/Commulative!$A3</f>
        <v>13.5</v>
      </c>
      <c r="K3">
        <f>Commulative!K3/Commulative!$A3</f>
        <v>16.5</v>
      </c>
      <c r="L3">
        <f>Commulative!L3/Commulative!$A3</f>
        <v>7.5</v>
      </c>
      <c r="M3">
        <f>Commulative!M3/Commulative!$A3</f>
        <v>15</v>
      </c>
      <c r="N3">
        <f>Commulative!N3/Commulative!$A3</f>
        <v>13.5</v>
      </c>
      <c r="O3">
        <f>Commulative!O3/Commulative!$A3</f>
        <v>15</v>
      </c>
      <c r="P3">
        <f>Commulative!P3/Commulative!$A3</f>
        <v>14.5</v>
      </c>
      <c r="Q3">
        <f>Commulative!Q3/Commulative!$A3</f>
        <v>17.5</v>
      </c>
    </row>
    <row r="4" spans="1:17">
      <c r="A4">
        <f>Sheet1!A4</f>
        <v>3</v>
      </c>
      <c r="B4" t="str">
        <f>Sheet1!B4</f>
        <v xml:space="preserve">ACL 2018 </v>
      </c>
      <c r="C4" t="str">
        <f>Sheet1!C4</f>
        <v xml:space="preserve"> Will it Blend? Weak and Manual Labeled Data in a Neural Network for Argumentation Mining</v>
      </c>
      <c r="D4" t="str">
        <f>Sheet1!E4</f>
        <v xml:space="preserve">Eyal Shnarch, Carlos Alzate, Lena Dankin, Martin Gleize, Yufang Hou, Leshem Choshen, Ranit Aharonov and Noam Slonim </v>
      </c>
      <c r="E4">
        <f>Sheet1!F4</f>
        <v>2018</v>
      </c>
      <c r="F4">
        <f>Commulative!F4/Commulative!$A4</f>
        <v>11</v>
      </c>
      <c r="G4">
        <f>Commulative!G4/Commulative!$A4</f>
        <v>12.666666666666666</v>
      </c>
      <c r="H4">
        <f>Commulative!H4/Commulative!$A4</f>
        <v>12</v>
      </c>
      <c r="I4">
        <f>Commulative!I4/Commulative!$A4</f>
        <v>5.666666666666667</v>
      </c>
      <c r="J4">
        <f>Commulative!J4/Commulative!$A4</f>
        <v>9</v>
      </c>
      <c r="K4">
        <f>Commulative!K4/Commulative!$A4</f>
        <v>10.666666666666666</v>
      </c>
      <c r="L4">
        <f>Commulative!L4/Commulative!$A4</f>
        <v>5</v>
      </c>
      <c r="M4">
        <f>Commulative!M4/Commulative!$A4</f>
        <v>9.6666666666666661</v>
      </c>
      <c r="N4">
        <f>Commulative!N4/Commulative!$A4</f>
        <v>9</v>
      </c>
      <c r="O4">
        <f>Commulative!O4/Commulative!$A4</f>
        <v>10</v>
      </c>
      <c r="P4">
        <f>Commulative!P4/Commulative!$A4</f>
        <v>9.6666666666666661</v>
      </c>
      <c r="Q4">
        <f>Commulative!Q4/Commulative!$A4</f>
        <v>11.666666666666666</v>
      </c>
    </row>
    <row r="5" spans="1:17">
      <c r="A5">
        <f>Sheet1!A5</f>
        <v>4</v>
      </c>
      <c r="B5" t="str">
        <f>Sheet1!B5</f>
        <v>ACL 2018* ​​</v>
      </c>
      <c r="C5" t="str">
        <f>Sheet1!C5</f>
        <v xml:space="preserve"> Automatic Metric Validation for Grammatical Error Correction</v>
      </c>
      <c r="D5" t="str">
        <f>Sheet1!E5</f>
        <v>Leshem Choshen, Omri Abend</v>
      </c>
      <c r="E5">
        <f>Sheet1!F5</f>
        <v>2018</v>
      </c>
      <c r="F5">
        <f>Commulative!F5/Commulative!$A5</f>
        <v>8.25</v>
      </c>
      <c r="G5">
        <f>Commulative!G5/Commulative!$A5</f>
        <v>9.5</v>
      </c>
      <c r="H5">
        <f>Commulative!H5/Commulative!$A5</f>
        <v>8.75</v>
      </c>
      <c r="I5">
        <f>Commulative!I5/Commulative!$A5</f>
        <v>4.25</v>
      </c>
      <c r="J5">
        <f>Commulative!J5/Commulative!$A5</f>
        <v>6.5</v>
      </c>
      <c r="K5">
        <f>Commulative!K5/Commulative!$A5</f>
        <v>8</v>
      </c>
      <c r="L5">
        <f>Commulative!L5/Commulative!$A5</f>
        <v>3.75</v>
      </c>
      <c r="M5">
        <f>Commulative!M5/Commulative!$A5</f>
        <v>7</v>
      </c>
      <c r="N5">
        <f>Commulative!N5/Commulative!$A5</f>
        <v>6.75</v>
      </c>
      <c r="O5">
        <f>Commulative!O5/Commulative!$A5</f>
        <v>7.5</v>
      </c>
      <c r="P5">
        <f>Commulative!P5/Commulative!$A5</f>
        <v>7.25</v>
      </c>
      <c r="Q5">
        <f>Commulative!Q5/Commulative!$A5</f>
        <v>8.5</v>
      </c>
    </row>
    <row r="6" spans="1:17">
      <c r="A6">
        <f>Sheet1!A6</f>
        <v>5</v>
      </c>
      <c r="B6" t="str">
        <f>Sheet1!B6</f>
        <v xml:space="preserve">ACL 2018* </v>
      </c>
      <c r="C6" t="str">
        <f>Sheet1!C6</f>
        <v>​​ Inherent Biases in Reference-based Evaluation for Grammatical Error Correction and Text Simplification</v>
      </c>
      <c r="D6" t="e">
        <f>Sheet1!#REF!</f>
        <v>#REF!</v>
      </c>
      <c r="E6">
        <f>Sheet1!F6</f>
        <v>2018</v>
      </c>
      <c r="F6">
        <f>Commulative!F6/Commulative!$A6</f>
        <v>6.4</v>
      </c>
      <c r="G6">
        <f>Commulative!G6/Commulative!$A6</f>
        <v>7.4</v>
      </c>
      <c r="H6">
        <f>Commulative!H6/Commulative!$A6</f>
        <v>6.8</v>
      </c>
      <c r="I6">
        <f>Commulative!I6/Commulative!$A6</f>
        <v>3.4</v>
      </c>
      <c r="J6">
        <f>Commulative!J6/Commulative!$A6</f>
        <v>5.2</v>
      </c>
      <c r="K6">
        <f>Commulative!K6/Commulative!$A6</f>
        <v>6.2</v>
      </c>
      <c r="L6">
        <f>Commulative!L6/Commulative!$A6</f>
        <v>3</v>
      </c>
      <c r="M6">
        <f>Commulative!M6/Commulative!$A6</f>
        <v>5.4</v>
      </c>
      <c r="N6">
        <f>Commulative!N6/Commulative!$A6</f>
        <v>5.4</v>
      </c>
      <c r="O6">
        <f>Commulative!O6/Commulative!$A6</f>
        <v>5.8</v>
      </c>
      <c r="P6">
        <f>Commulative!P6/Commulative!$A6</f>
        <v>5.6</v>
      </c>
      <c r="Q6">
        <f>Commulative!Q6/Commulative!$A6</f>
        <v>6.6</v>
      </c>
    </row>
    <row r="7" spans="1:17">
      <c r="A7">
        <f>Sheet1!A7</f>
        <v>6</v>
      </c>
      <c r="B7" t="str">
        <f>Sheet1!B7</f>
        <v xml:space="preserve">SemEval@EMNLP 2019 </v>
      </c>
      <c r="C7" t="str">
        <f>Sheet1!C7</f>
        <v xml:space="preserve"> SemEval 2019 Task 1: Cross-lingual Semantic Parsing with UCCA </v>
      </c>
      <c r="D7" t="str">
        <f>Sheet1!E7</f>
        <v>Daniel Hershcovich, Zohar Aizenbud, Leshem Choshen, Elior Sulem, Ari Rappoport, Omri Abend</v>
      </c>
      <c r="E7">
        <f>Sheet1!F7</f>
        <v>2019</v>
      </c>
      <c r="F7">
        <f>Commulative!F7/Commulative!$A7</f>
        <v>5.333333333333333</v>
      </c>
      <c r="G7">
        <f>Commulative!G7/Commulative!$A7</f>
        <v>6</v>
      </c>
      <c r="H7">
        <f>Commulative!H7/Commulative!$A7</f>
        <v>5.666666666666667</v>
      </c>
      <c r="I7">
        <f>Commulative!I7/Commulative!$A7</f>
        <v>2.8333333333333335</v>
      </c>
      <c r="J7">
        <f>Commulative!J7/Commulative!$A7</f>
        <v>4.333333333333333</v>
      </c>
      <c r="K7">
        <f>Commulative!K7/Commulative!$A7</f>
        <v>5</v>
      </c>
      <c r="L7">
        <f>Commulative!L7/Commulative!$A7</f>
        <v>2.5</v>
      </c>
      <c r="M7">
        <f>Commulative!M7/Commulative!$A7</f>
        <v>4.333333333333333</v>
      </c>
      <c r="N7">
        <f>Commulative!N7/Commulative!$A7</f>
        <v>4.5</v>
      </c>
      <c r="O7">
        <f>Commulative!O7/Commulative!$A7</f>
        <v>4.666666666666667</v>
      </c>
      <c r="P7">
        <f>Commulative!P7/Commulative!$A7</f>
        <v>4.666666666666667</v>
      </c>
      <c r="Q7">
        <f>Commulative!Q7/Commulative!$A7</f>
        <v>5.5</v>
      </c>
    </row>
    <row r="8" spans="1:17">
      <c r="A8">
        <f>Sheet1!A8</f>
        <v>7</v>
      </c>
      <c r="B8" t="str">
        <f>Sheet1!B8</f>
        <v xml:space="preserve">ACL 2019 </v>
      </c>
      <c r="C8" t="str">
        <f>Sheet1!C8</f>
        <v xml:space="preserve"> Are You Convinced? Choosing the More Convincing Evidence with a Siamese Network </v>
      </c>
      <c r="D8" t="str">
        <f>Sheet1!E8</f>
        <v>Martin Gleize, Eyal Shnarch, Leshem Choshen, Lena Dankin, Guy Moshkowich, Ranit Aharonov, Noam Slonim</v>
      </c>
      <c r="E8">
        <f>Sheet1!F8</f>
        <v>2019</v>
      </c>
      <c r="F8">
        <f>Commulative!F8/Commulative!$A8</f>
        <v>4.4285714285714288</v>
      </c>
      <c r="G8">
        <f>Commulative!G8/Commulative!$A8</f>
        <v>5.1428571428571432</v>
      </c>
      <c r="H8">
        <f>Commulative!H8/Commulative!$A8</f>
        <v>4.8571428571428568</v>
      </c>
      <c r="I8">
        <f>Commulative!I8/Commulative!$A8</f>
        <v>2.2857142857142856</v>
      </c>
      <c r="J8">
        <f>Commulative!J8/Commulative!$A8</f>
        <v>3.7142857142857144</v>
      </c>
      <c r="K8">
        <f>Commulative!K8/Commulative!$A8</f>
        <v>4.1428571428571432</v>
      </c>
      <c r="L8">
        <f>Commulative!L8/Commulative!$A8</f>
        <v>2</v>
      </c>
      <c r="M8">
        <f>Commulative!M8/Commulative!$A8</f>
        <v>3.5714285714285716</v>
      </c>
      <c r="N8">
        <f>Commulative!N8/Commulative!$A8</f>
        <v>3.7142857142857144</v>
      </c>
      <c r="O8">
        <f>Commulative!O8/Commulative!$A8</f>
        <v>3.8571428571428572</v>
      </c>
      <c r="P8">
        <f>Commulative!P8/Commulative!$A8</f>
        <v>3.8571428571428572</v>
      </c>
      <c r="Q8">
        <f>Commulative!Q8/Commulative!$A8</f>
        <v>4.7142857142857144</v>
      </c>
    </row>
    <row r="9" spans="1:17">
      <c r="A9">
        <f>Sheet1!A9</f>
        <v>8</v>
      </c>
      <c r="B9" t="str">
        <f>Sheet1!B9</f>
        <v xml:space="preserve">ACL 2019* </v>
      </c>
      <c r="C9" t="str">
        <f>Sheet1!C9</f>
        <v xml:space="preserve"> The Language of Legal and Illegal Activity on the Darknet </v>
      </c>
      <c r="D9" t="str">
        <f>Sheet1!E9</f>
        <v>Leshem Choshen, Dan Eldad, Daniel Hershcovich, Elior Sulem, Omri Abend</v>
      </c>
      <c r="E9">
        <f>Sheet1!F9</f>
        <v>2019</v>
      </c>
      <c r="F9">
        <f>Commulative!F9/Commulative!$A9</f>
        <v>3.875</v>
      </c>
      <c r="G9">
        <f>Commulative!G9/Commulative!$A9</f>
        <v>4.5</v>
      </c>
      <c r="H9">
        <f>Commulative!H9/Commulative!$A9</f>
        <v>4.125</v>
      </c>
      <c r="I9">
        <f>Commulative!I9/Commulative!$A9</f>
        <v>2</v>
      </c>
      <c r="J9">
        <f>Commulative!J9/Commulative!$A9</f>
        <v>3.125</v>
      </c>
      <c r="K9">
        <f>Commulative!K9/Commulative!$A9</f>
        <v>3.625</v>
      </c>
      <c r="L9">
        <f>Commulative!L9/Commulative!$A9</f>
        <v>1.75</v>
      </c>
      <c r="M9">
        <f>Commulative!M9/Commulative!$A9</f>
        <v>3</v>
      </c>
      <c r="N9">
        <f>Commulative!N9/Commulative!$A9</f>
        <v>3.25</v>
      </c>
      <c r="O9">
        <f>Commulative!O9/Commulative!$A9</f>
        <v>3.375</v>
      </c>
      <c r="P9">
        <f>Commulative!P9/Commulative!$A9</f>
        <v>3.375</v>
      </c>
      <c r="Q9">
        <f>Commulative!Q9/Commulative!$A9</f>
        <v>4.125</v>
      </c>
    </row>
    <row r="10" spans="1:17">
      <c r="A10">
        <f>Sheet1!A10</f>
        <v>9</v>
      </c>
      <c r="B10" t="str">
        <f>Sheet1!B10</f>
        <v xml:space="preserve">BEA@ACL 2019* </v>
      </c>
      <c r="C10" t="str">
        <f>Sheet1!C10</f>
        <v xml:space="preserve"> Learning to combine Grammatical Error Corrections </v>
      </c>
      <c r="D10" t="str">
        <f>Sheet1!E10</f>
        <v>Yoav Kantor, Yoav Katz, Leshem Choshen, Edo Cohen-Karlik, Naftali Liberman, Assaf Toledo, Amir Menczel, Noam Slonim</v>
      </c>
      <c r="E10">
        <f>Sheet1!F10</f>
        <v>2019</v>
      </c>
      <c r="F10">
        <f>Commulative!F10/Commulative!$A10</f>
        <v>3.4444444444444446</v>
      </c>
      <c r="G10">
        <f>Commulative!G10/Commulative!$A10</f>
        <v>3.8888888888888888</v>
      </c>
      <c r="H10">
        <f>Commulative!H10/Commulative!$A10</f>
        <v>3.6666666666666665</v>
      </c>
      <c r="I10">
        <f>Commulative!I10/Commulative!$A10</f>
        <v>1.7777777777777777</v>
      </c>
      <c r="J10">
        <f>Commulative!J10/Commulative!$A10</f>
        <v>2.7777777777777777</v>
      </c>
      <c r="K10">
        <f>Commulative!K10/Commulative!$A10</f>
        <v>3.2222222222222223</v>
      </c>
      <c r="L10">
        <f>Commulative!L10/Commulative!$A10</f>
        <v>1.4444444444444444</v>
      </c>
      <c r="M10">
        <f>Commulative!M10/Commulative!$A10</f>
        <v>2.5555555555555554</v>
      </c>
      <c r="N10">
        <f>Commulative!N10/Commulative!$A10</f>
        <v>2.8888888888888888</v>
      </c>
      <c r="O10">
        <f>Commulative!O10/Commulative!$A10</f>
        <v>2.8888888888888888</v>
      </c>
      <c r="P10">
        <f>Commulative!P10/Commulative!$A10</f>
        <v>3</v>
      </c>
      <c r="Q10">
        <f>Commulative!Q10/Commulative!$A10</f>
        <v>3.6666666666666665</v>
      </c>
    </row>
    <row r="11" spans="1:17">
      <c r="A11">
        <f>Sheet1!A11</f>
        <v>10</v>
      </c>
      <c r="B11" t="str">
        <f>Sheet1!B11</f>
        <v xml:space="preserve">CoNLL 2019* </v>
      </c>
      <c r="C11" t="str">
        <f>Sheet1!C11</f>
        <v xml:space="preserve"> Automatically Extracting Challenge Sets for Non-local Phenomena in Neural Machine Translation </v>
      </c>
      <c r="D11" t="str">
        <f>Sheet1!E11</f>
        <v>Leshem Choshen, Omri Abend</v>
      </c>
      <c r="E11">
        <f>Sheet1!F11</f>
        <v>2019</v>
      </c>
      <c r="F11">
        <f>Commulative!F11/Commulative!$A11</f>
        <v>3</v>
      </c>
      <c r="G11">
        <f>Commulative!G11/Commulative!$A11</f>
        <v>3.5</v>
      </c>
      <c r="H11">
        <f>Commulative!H11/Commulative!$A11</f>
        <v>3.2</v>
      </c>
      <c r="I11">
        <f>Commulative!I11/Commulative!$A11</f>
        <v>1.6</v>
      </c>
      <c r="J11">
        <f>Commulative!J11/Commulative!$A11</f>
        <v>2.4</v>
      </c>
      <c r="K11">
        <f>Commulative!K11/Commulative!$A11</f>
        <v>2.9</v>
      </c>
      <c r="L11">
        <f>Commulative!L11/Commulative!$A11</f>
        <v>1.2</v>
      </c>
      <c r="M11">
        <f>Commulative!M11/Commulative!$A11</f>
        <v>2.2000000000000002</v>
      </c>
      <c r="N11">
        <f>Commulative!N11/Commulative!$A11</f>
        <v>2.6</v>
      </c>
      <c r="O11">
        <f>Commulative!O11/Commulative!$A11</f>
        <v>2.5</v>
      </c>
      <c r="P11">
        <f>Commulative!P11/Commulative!$A11</f>
        <v>2.6</v>
      </c>
      <c r="Q11">
        <f>Commulative!Q11/Commulative!$A11</f>
        <v>3.2</v>
      </c>
    </row>
    <row r="12" spans="1:17">
      <c r="A12">
        <f>Sheet1!A12</f>
        <v>11</v>
      </c>
      <c r="B12" t="str">
        <f>Sheet1!B12</f>
        <v xml:space="preserve">AAAI 2020 </v>
      </c>
      <c r="C12" t="str">
        <f>Sheet1!C12</f>
        <v xml:space="preserve"> Corpus wide argument mining- a working solution </v>
      </c>
      <c r="D12" t="str">
        <f>Sheet1!E12</f>
        <v>Liat Ein-Dor, Eyal Shnarch, Lena Dankin, Alon Halfon, Benjamin Sznajder, Ariel Gera, Carlos Alzate, Martin Gleize, Leshem Choshen, Yufang Hou, Yonatan Bilu, Ranit Aharonov, Noam Slonim</v>
      </c>
      <c r="E12">
        <f>Sheet1!F12</f>
        <v>2020</v>
      </c>
      <c r="F12">
        <f>Commulative!F12/Commulative!$A12</f>
        <v>2.6363636363636362</v>
      </c>
      <c r="G12">
        <f>Commulative!G12/Commulative!$A12</f>
        <v>3.0909090909090908</v>
      </c>
      <c r="H12">
        <f>Commulative!H12/Commulative!$A12</f>
        <v>2.8181818181818183</v>
      </c>
      <c r="I12">
        <f>Commulative!I12/Commulative!$A12</f>
        <v>1.3636363636363635</v>
      </c>
      <c r="J12">
        <f>Commulative!J12/Commulative!$A12</f>
        <v>2.1818181818181817</v>
      </c>
      <c r="K12">
        <f>Commulative!K12/Commulative!$A12</f>
        <v>2.5454545454545454</v>
      </c>
      <c r="L12">
        <f>Commulative!L12/Commulative!$A12</f>
        <v>1.0909090909090908</v>
      </c>
      <c r="M12">
        <f>Commulative!M12/Commulative!$A12</f>
        <v>1.9090909090909092</v>
      </c>
      <c r="N12">
        <f>Commulative!N12/Commulative!$A12</f>
        <v>2.3636363636363638</v>
      </c>
      <c r="O12">
        <f>Commulative!O12/Commulative!$A12</f>
        <v>2.1818181818181817</v>
      </c>
      <c r="P12">
        <f>Commulative!P12/Commulative!$A12</f>
        <v>2.2727272727272729</v>
      </c>
      <c r="Q12">
        <f>Commulative!Q12/Commulative!$A12</f>
        <v>2.8181818181818183</v>
      </c>
    </row>
    <row r="13" spans="1:17">
      <c r="A13">
        <f>Sheet1!A13</f>
        <v>12</v>
      </c>
      <c r="B13" t="str">
        <f>Sheet1!B13</f>
        <v xml:space="preserve">ICLR 2020* </v>
      </c>
      <c r="C13" t="str">
        <f>Sheet1!C13</f>
        <v xml:space="preserve"> On the Weaknesses of Reinforcement Learning for Neural Machine Translation </v>
      </c>
      <c r="D13" t="str">
        <f>Sheet1!E13</f>
        <v>Leshem Choshen, Lior Fox, Zohar Aizenbud, Omri Abend </v>
      </c>
      <c r="E13">
        <f>Sheet1!F13</f>
        <v>2020</v>
      </c>
      <c r="F13">
        <f>Commulative!F13/Commulative!$A13</f>
        <v>2.3333333333333335</v>
      </c>
      <c r="G13">
        <f>Commulative!G13/Commulative!$A13</f>
        <v>2.8333333333333335</v>
      </c>
      <c r="H13">
        <f>Commulative!H13/Commulative!$A13</f>
        <v>2.5</v>
      </c>
      <c r="I13">
        <f>Commulative!I13/Commulative!$A13</f>
        <v>1.1666666666666667</v>
      </c>
      <c r="J13">
        <f>Commulative!J13/Commulative!$A13</f>
        <v>1.9166666666666667</v>
      </c>
      <c r="K13">
        <f>Commulative!K13/Commulative!$A13</f>
        <v>2.25</v>
      </c>
      <c r="L13">
        <f>Commulative!L13/Commulative!$A13</f>
        <v>1</v>
      </c>
      <c r="M13">
        <f>Commulative!M13/Commulative!$A13</f>
        <v>1.6666666666666667</v>
      </c>
      <c r="N13">
        <f>Commulative!N13/Commulative!$A13</f>
        <v>2.1666666666666665</v>
      </c>
      <c r="O13">
        <f>Commulative!O13/Commulative!$A13</f>
        <v>2</v>
      </c>
      <c r="P13">
        <f>Commulative!P13/Commulative!$A13</f>
        <v>2.0833333333333335</v>
      </c>
      <c r="Q13">
        <f>Commulative!Q13/Commulative!$A13</f>
        <v>2.5833333333333335</v>
      </c>
    </row>
    <row r="14" spans="1:17">
      <c r="A14">
        <f>Sheet1!A14</f>
        <v>13</v>
      </c>
      <c r="B14" t="str">
        <f>Sheet1!B14</f>
        <v xml:space="preserve">ICML 2020 </v>
      </c>
      <c r="C14" t="str">
        <f>Sheet1!C14</f>
        <v xml:space="preserve"> Let's Agree to Agree: Neural Networks Share Classification Order on Real Datasets </v>
      </c>
      <c r="D14" t="str">
        <f>Sheet1!E14</f>
        <v>Guy Hacohen, Leshem Choshen, Dafna Weinshall</v>
      </c>
      <c r="E14">
        <f>Sheet1!F14</f>
        <v>2020</v>
      </c>
      <c r="F14">
        <f>Commulative!F14/Commulative!$A14</f>
        <v>2.1538461538461537</v>
      </c>
      <c r="G14">
        <f>Commulative!G14/Commulative!$A14</f>
        <v>2.5384615384615383</v>
      </c>
      <c r="H14">
        <f>Commulative!H14/Commulative!$A14</f>
        <v>2.3076923076923075</v>
      </c>
      <c r="I14">
        <f>Commulative!I14/Commulative!$A14</f>
        <v>1.0769230769230769</v>
      </c>
      <c r="J14">
        <f>Commulative!J14/Commulative!$A14</f>
        <v>1.6923076923076923</v>
      </c>
      <c r="K14">
        <f>Commulative!K14/Commulative!$A14</f>
        <v>2</v>
      </c>
      <c r="L14">
        <f>Commulative!L14/Commulative!$A14</f>
        <v>0.92307692307692313</v>
      </c>
      <c r="M14">
        <f>Commulative!M14/Commulative!$A14</f>
        <v>1.4615384615384615</v>
      </c>
      <c r="N14">
        <f>Commulative!N14/Commulative!$A14</f>
        <v>2</v>
      </c>
      <c r="O14">
        <f>Commulative!O14/Commulative!$A14</f>
        <v>1.7692307692307692</v>
      </c>
      <c r="P14">
        <f>Commulative!P14/Commulative!$A14</f>
        <v>1.9230769230769231</v>
      </c>
      <c r="Q14">
        <f>Commulative!Q14/Commulative!$A14</f>
        <v>2.3846153846153846</v>
      </c>
    </row>
    <row r="15" spans="1:17">
      <c r="A15">
        <f>Sheet1!A15</f>
        <v>14</v>
      </c>
      <c r="B15" t="str">
        <f>Sheet1!B15</f>
        <v xml:space="preserve">EMNLP 2020 </v>
      </c>
      <c r="C15" t="str">
        <f>Sheet1!C15</f>
        <v xml:space="preserve"> Active Learning for BERT: An Empirical Study </v>
      </c>
      <c r="D15" t="str">
        <f>Sheet1!E15</f>
        <v>Liat Ein-Dor, Alon Halfon, Ariel Gera, Eyal Shnarch, Lena Dankin, Leshem Choshen, Marina Danilevsky, Ranit Aharonov, Yoav Katz and Noam Slonim</v>
      </c>
      <c r="E15">
        <f>Sheet1!F15</f>
        <v>2020</v>
      </c>
      <c r="F15">
        <f>Commulative!F15/Commulative!$A15</f>
        <v>2</v>
      </c>
      <c r="G15">
        <f>Commulative!G15/Commulative!$A15</f>
        <v>2.2857142857142856</v>
      </c>
      <c r="H15">
        <f>Commulative!H15/Commulative!$A15</f>
        <v>2.1428571428571428</v>
      </c>
      <c r="I15">
        <f>Commulative!I15/Commulative!$A15</f>
        <v>1</v>
      </c>
      <c r="J15">
        <f>Commulative!J15/Commulative!$A15</f>
        <v>1.5714285714285714</v>
      </c>
      <c r="K15">
        <f>Commulative!K15/Commulative!$A15</f>
        <v>1.8571428571428572</v>
      </c>
      <c r="L15">
        <f>Commulative!L15/Commulative!$A15</f>
        <v>0.8571428571428571</v>
      </c>
      <c r="M15">
        <f>Commulative!M15/Commulative!$A15</f>
        <v>1.3571428571428572</v>
      </c>
      <c r="N15">
        <f>Commulative!N15/Commulative!$A15</f>
        <v>1.8571428571428572</v>
      </c>
      <c r="O15">
        <f>Commulative!O15/Commulative!$A15</f>
        <v>1.6428571428571428</v>
      </c>
      <c r="P15">
        <f>Commulative!P15/Commulative!$A15</f>
        <v>1.7857142857142858</v>
      </c>
      <c r="Q15">
        <f>Commulative!Q15/Commulative!$A15</f>
        <v>2.2142857142857144</v>
      </c>
    </row>
    <row r="16" spans="1:17">
      <c r="A16">
        <f>Sheet1!A16</f>
        <v>15</v>
      </c>
      <c r="B16" t="str">
        <f>Sheet1!B16</f>
        <v>EMNLP 2020* findings</v>
      </c>
      <c r="C16" t="str">
        <f>Sheet1!C16</f>
        <v xml:space="preserve"> Unsupervised Expressive Rules Provide Explainability and Assist Human Experts Grasping New Domains </v>
      </c>
      <c r="D16" t="str">
        <f>Sheet1!E16</f>
        <v>Eyal Shnarch, Leshem Choshen, Guy Moshkowich, Ranit Aharonov, Noam Slonim</v>
      </c>
      <c r="E16">
        <f>Sheet1!F16</f>
        <v>2020</v>
      </c>
      <c r="F16">
        <f>Commulative!F16/Commulative!$A16</f>
        <v>1.8</v>
      </c>
      <c r="G16">
        <f>Commulative!G16/Commulative!$A16</f>
        <v>2.1333333333333333</v>
      </c>
      <c r="H16">
        <f>Commulative!H16/Commulative!$A16</f>
        <v>2</v>
      </c>
      <c r="I16">
        <f>Commulative!I16/Commulative!$A16</f>
        <v>0.93333333333333335</v>
      </c>
      <c r="J16">
        <f>Commulative!J16/Commulative!$A16</f>
        <v>1.4</v>
      </c>
      <c r="K16">
        <f>Commulative!K16/Commulative!$A16</f>
        <v>1.6666666666666667</v>
      </c>
      <c r="L16">
        <f>Commulative!L16/Commulative!$A16</f>
        <v>0.8</v>
      </c>
      <c r="M16">
        <f>Commulative!M16/Commulative!$A16</f>
        <v>1.2666666666666666</v>
      </c>
      <c r="N16">
        <f>Commulative!N16/Commulative!$A16</f>
        <v>1.7333333333333334</v>
      </c>
      <c r="O16">
        <f>Commulative!O16/Commulative!$A16</f>
        <v>1.4666666666666666</v>
      </c>
      <c r="P16">
        <f>Commulative!P16/Commulative!$A16</f>
        <v>1.6666666666666667</v>
      </c>
      <c r="Q16">
        <f>Commulative!Q16/Commulative!$A16</f>
        <v>2</v>
      </c>
    </row>
    <row r="17" spans="1:17">
      <c r="A17">
        <f>Sheet1!A17</f>
        <v>16</v>
      </c>
      <c r="B17" t="str">
        <f>Sheet1!B17</f>
        <v xml:space="preserve">CONLL 2020* </v>
      </c>
      <c r="C17" t="str">
        <f>Sheet1!C17</f>
        <v xml:space="preserve"> Classifying Syntactic Errors in Learner Language </v>
      </c>
      <c r="D17" t="str">
        <f>Sheet1!E17</f>
        <v>Leshem Choshen, Dmitry Nikolaev, Yevgeni Berzak, Omri Abend</v>
      </c>
      <c r="E17">
        <f>Sheet1!F17</f>
        <v>2020</v>
      </c>
      <c r="F17">
        <f>Commulative!F17/Commulative!$A17</f>
        <v>1.625</v>
      </c>
      <c r="G17">
        <f>Commulative!G17/Commulative!$A17</f>
        <v>1.9375</v>
      </c>
      <c r="H17">
        <f>Commulative!H17/Commulative!$A17</f>
        <v>1.8125</v>
      </c>
      <c r="I17">
        <f>Commulative!I17/Commulative!$A17</f>
        <v>0.875</v>
      </c>
      <c r="J17">
        <f>Commulative!J17/Commulative!$A17</f>
        <v>1.25</v>
      </c>
      <c r="K17">
        <f>Commulative!K17/Commulative!$A17</f>
        <v>1.5</v>
      </c>
      <c r="L17">
        <f>Commulative!L17/Commulative!$A17</f>
        <v>0.75</v>
      </c>
      <c r="M17">
        <f>Commulative!M17/Commulative!$A17</f>
        <v>1.1875</v>
      </c>
      <c r="N17">
        <f>Commulative!N17/Commulative!$A17</f>
        <v>1.5625</v>
      </c>
      <c r="O17">
        <f>Commulative!O17/Commulative!$A17</f>
        <v>1.375</v>
      </c>
      <c r="P17">
        <f>Commulative!P17/Commulative!$A17</f>
        <v>1.5</v>
      </c>
      <c r="Q17">
        <f>Commulative!Q17/Commulative!$A17</f>
        <v>1.8125</v>
      </c>
    </row>
    <row r="18" spans="1:17">
      <c r="A18">
        <f>Sheet1!A18</f>
        <v>17</v>
      </c>
      <c r="B18" t="str">
        <f>Sheet1!B18</f>
        <v xml:space="preserve">Nature 2021 (cover) </v>
      </c>
      <c r="C18" t="str">
        <f>Sheet1!C18</f>
        <v xml:space="preserve"> Project Debater  an Autonomous Debating System</v>
      </c>
      <c r="D18" t="str">
        <f>Sheet1!E18</f>
        <v xml:space="preserve"> 5th author, full list of authors omitted due to length restrictions (55 authors)</v>
      </c>
      <c r="E18">
        <f>Sheet1!F18</f>
        <v>2021</v>
      </c>
      <c r="F18">
        <f>Commulative!F18/Commulative!$A18</f>
        <v>1.4705882352941178</v>
      </c>
      <c r="G18">
        <f>Commulative!G18/Commulative!$A18</f>
        <v>1.7647058823529411</v>
      </c>
      <c r="H18">
        <f>Commulative!H18/Commulative!$A18</f>
        <v>1.6470588235294117</v>
      </c>
      <c r="I18">
        <f>Commulative!I18/Commulative!$A18</f>
        <v>0.82352941176470584</v>
      </c>
      <c r="J18">
        <f>Commulative!J18/Commulative!$A18</f>
        <v>1.1764705882352942</v>
      </c>
      <c r="K18">
        <f>Commulative!K18/Commulative!$A18</f>
        <v>1.3529411764705883</v>
      </c>
      <c r="L18">
        <f>Commulative!L18/Commulative!$A18</f>
        <v>0.70588235294117652</v>
      </c>
      <c r="M18">
        <f>Commulative!M18/Commulative!$A18</f>
        <v>1.0588235294117647</v>
      </c>
      <c r="N18">
        <f>Commulative!N18/Commulative!$A18</f>
        <v>1.4705882352941178</v>
      </c>
      <c r="O18">
        <f>Commulative!O18/Commulative!$A18</f>
        <v>1.2941176470588236</v>
      </c>
      <c r="P18">
        <f>Commulative!P18/Commulative!$A18</f>
        <v>1.411764705882353</v>
      </c>
      <c r="Q18">
        <f>Commulative!Q18/Commulative!$A18</f>
        <v>1.7058823529411764</v>
      </c>
    </row>
    <row r="19" spans="1:17">
      <c r="A19">
        <f>Sheet1!A19</f>
        <v>18</v>
      </c>
      <c r="B19" t="str">
        <f>Sheet1!B19</f>
        <v xml:space="preserve">NAACL2021 </v>
      </c>
      <c r="C19" t="str">
        <f>Sheet1!C19</f>
        <v xml:space="preserve"> Mediators in Determining what Processing BERT Performs First</v>
      </c>
      <c r="D19" t="str">
        <f>Sheet1!E19</f>
        <v xml:space="preserve"> Aviv Solobodkin, Leshem Choshen, Omri Abend</v>
      </c>
      <c r="E19">
        <f>Sheet1!F19</f>
        <v>2021</v>
      </c>
      <c r="F19">
        <f>Commulative!F19/Commulative!$A19</f>
        <v>1.3333333333333333</v>
      </c>
      <c r="G19">
        <f>Commulative!G19/Commulative!$A19</f>
        <v>1.6666666666666667</v>
      </c>
      <c r="H19">
        <f>Commulative!H19/Commulative!$A19</f>
        <v>1.5</v>
      </c>
      <c r="I19">
        <f>Commulative!I19/Commulative!$A19</f>
        <v>0.72222222222222221</v>
      </c>
      <c r="J19">
        <f>Commulative!J19/Commulative!$A19</f>
        <v>1.0555555555555556</v>
      </c>
      <c r="K19">
        <f>Commulative!K19/Commulative!$A19</f>
        <v>1.2777777777777777</v>
      </c>
      <c r="L19">
        <f>Commulative!L19/Commulative!$A19</f>
        <v>0.66666666666666663</v>
      </c>
      <c r="M19">
        <f>Commulative!M19/Commulative!$A19</f>
        <v>0.94444444444444442</v>
      </c>
      <c r="N19">
        <f>Commulative!N19/Commulative!$A19</f>
        <v>1.3888888888888888</v>
      </c>
      <c r="O19">
        <f>Commulative!O19/Commulative!$A19</f>
        <v>1.2222222222222223</v>
      </c>
      <c r="P19">
        <f>Commulative!P19/Commulative!$A19</f>
        <v>1.3333333333333333</v>
      </c>
      <c r="Q19">
        <f>Commulative!Q19/Commulative!$A19</f>
        <v>1.6111111111111112</v>
      </c>
    </row>
    <row r="20" spans="1:17">
      <c r="A20">
        <f>Sheet1!A20</f>
        <v>19</v>
      </c>
      <c r="B20" t="str">
        <f>Sheet1!B20</f>
        <v xml:space="preserve">ArXiv* (Technical report) </v>
      </c>
      <c r="C20" t="str">
        <f>Sheet1!C20</f>
        <v xml:space="preserve"> SERRANT: a syntactic classifier for English Grammatical Error Types</v>
      </c>
      <c r="D20" t="str">
        <f>Sheet1!E20</f>
        <v xml:space="preserve"> Leshem Choshen, Matanel Orenm Dmitry Nikolaev, Omri Abend</v>
      </c>
      <c r="E20">
        <f>Sheet1!F20</f>
        <v>2021</v>
      </c>
      <c r="F20">
        <f>Commulative!F20/Commulative!$A20</f>
        <v>1.263157894736842</v>
      </c>
      <c r="G20">
        <f>Commulative!G20/Commulative!$A20</f>
        <v>1.5263157894736843</v>
      </c>
      <c r="H20">
        <f>Commulative!H20/Commulative!$A20</f>
        <v>1.4210526315789473</v>
      </c>
      <c r="I20">
        <f>Commulative!I20/Commulative!$A20</f>
        <v>0.68421052631578949</v>
      </c>
      <c r="J20">
        <f>Commulative!J20/Commulative!$A20</f>
        <v>1</v>
      </c>
      <c r="K20">
        <f>Commulative!K20/Commulative!$A20</f>
        <v>1.2105263157894737</v>
      </c>
      <c r="L20">
        <f>Commulative!L20/Commulative!$A20</f>
        <v>0.63157894736842102</v>
      </c>
      <c r="M20">
        <f>Commulative!M20/Commulative!$A20</f>
        <v>0.89473684210526316</v>
      </c>
      <c r="N20">
        <f>Commulative!N20/Commulative!$A20</f>
        <v>1.3157894736842106</v>
      </c>
      <c r="O20">
        <f>Commulative!O20/Commulative!$A20</f>
        <v>1.1052631578947369</v>
      </c>
      <c r="P20">
        <f>Commulative!P20/Commulative!$A20</f>
        <v>1.263157894736842</v>
      </c>
      <c r="Q20">
        <f>Commulative!Q20/Commulative!$A20</f>
        <v>1.5263157894736843</v>
      </c>
    </row>
    <row r="21" spans="1:17">
      <c r="A21">
        <f>Sheet1!A21</f>
        <v>20</v>
      </c>
      <c r="B21" t="str">
        <f>Sheet1!B21</f>
        <v xml:space="preserve">EMNLP2021 </v>
      </c>
      <c r="C21" t="str">
        <f>Sheet1!C21</f>
        <v xml:space="preserve"> Q2: Evaluating Factual Consistency in Knowledge-Grounded Dialogues via Question Generation and Question Answering</v>
      </c>
      <c r="D21" t="str">
        <f>Sheet1!E21</f>
        <v xml:space="preserve"> Or Honnovich, Leshem Choshen, Roee Aharoni, Idan Szpector, Omri Abend †</v>
      </c>
      <c r="E21">
        <f>Sheet1!F21</f>
        <v>2021</v>
      </c>
      <c r="F21">
        <f>Commulative!F21/Commulative!$A21</f>
        <v>1.1499999999999999</v>
      </c>
      <c r="G21">
        <f>Commulative!G21/Commulative!$A21</f>
        <v>1.4</v>
      </c>
      <c r="H21">
        <f>Commulative!H21/Commulative!$A21</f>
        <v>1.3</v>
      </c>
      <c r="I21">
        <f>Commulative!I21/Commulative!$A21</f>
        <v>0.65</v>
      </c>
      <c r="J21">
        <f>Commulative!J21/Commulative!$A21</f>
        <v>0.95</v>
      </c>
      <c r="K21">
        <f>Commulative!K21/Commulative!$A21</f>
        <v>1.1000000000000001</v>
      </c>
      <c r="L21">
        <f>Commulative!L21/Commulative!$A21</f>
        <v>0.6</v>
      </c>
      <c r="M21">
        <f>Commulative!M21/Commulative!$A21</f>
        <v>0.85</v>
      </c>
      <c r="N21">
        <f>Commulative!N21/Commulative!$A21</f>
        <v>1.25</v>
      </c>
      <c r="O21">
        <f>Commulative!O21/Commulative!$A21</f>
        <v>1</v>
      </c>
      <c r="P21">
        <f>Commulative!P21/Commulative!$A21</f>
        <v>1.1499999999999999</v>
      </c>
      <c r="Q21">
        <f>Commulative!Q21/Commulative!$A21</f>
        <v>1.45</v>
      </c>
    </row>
    <row r="22" spans="1:17">
      <c r="A22">
        <f>Sheet1!A22</f>
        <v>21</v>
      </c>
      <c r="B22" t="str">
        <f>Sheet1!B22</f>
        <v xml:space="preserve">ArXiv </v>
      </c>
      <c r="C22" t="str">
        <f>Sheet1!C22</f>
        <v xml:space="preserve"> Part of speech and universal dependency effects on english arabic machine translation</v>
      </c>
      <c r="D22" t="str">
        <f>Sheet1!E22</f>
        <v xml:space="preserve"> Ofek Rafaeli, Omri Abend, Leshem Choshen, Dmitry Nikolaev</v>
      </c>
      <c r="E22">
        <f>Sheet1!F22</f>
        <v>2022</v>
      </c>
      <c r="F22">
        <f>Commulative!F22/Commulative!$A22</f>
        <v>1.0476190476190477</v>
      </c>
      <c r="G22">
        <f>Commulative!G22/Commulative!$A22</f>
        <v>1.3333333333333333</v>
      </c>
      <c r="H22">
        <f>Commulative!H22/Commulative!$A22</f>
        <v>1.1904761904761905</v>
      </c>
      <c r="I22">
        <f>Commulative!I22/Commulative!$A22</f>
        <v>0.61904761904761907</v>
      </c>
      <c r="J22">
        <f>Commulative!J22/Commulative!$A22</f>
        <v>0.90476190476190477</v>
      </c>
      <c r="K22">
        <f>Commulative!K22/Commulative!$A22</f>
        <v>1</v>
      </c>
      <c r="L22">
        <f>Commulative!L22/Commulative!$A22</f>
        <v>0.5714285714285714</v>
      </c>
      <c r="M22">
        <f>Commulative!M22/Commulative!$A22</f>
        <v>0.80952380952380953</v>
      </c>
      <c r="N22">
        <f>Commulative!N22/Commulative!$A22</f>
        <v>1.1904761904761905</v>
      </c>
      <c r="O22">
        <f>Commulative!O22/Commulative!$A22</f>
        <v>0.95238095238095233</v>
      </c>
      <c r="P22">
        <f>Commulative!P22/Commulative!$A22</f>
        <v>1.0952380952380953</v>
      </c>
      <c r="Q22">
        <f>Commulative!Q22/Commulative!$A22</f>
        <v>1.3809523809523809</v>
      </c>
    </row>
    <row r="23" spans="1:17">
      <c r="A23">
        <f>Sheet1!A23</f>
        <v>22</v>
      </c>
      <c r="B23" t="str">
        <f>Sheet1!B23</f>
        <v xml:space="preserve">ArXiv </v>
      </c>
      <c r="C23" t="str">
        <f>Sheet1!C23</f>
        <v xml:space="preserve"> ComSum: Commit Messages Summarization and Meaning Preservation</v>
      </c>
      <c r="D23" t="str">
        <f>Sheet1!E23</f>
        <v xml:space="preserve"> Leshem Choshen &amp; Idan Amit</v>
      </c>
      <c r="E23">
        <f>Sheet1!F23</f>
        <v>2022</v>
      </c>
      <c r="F23">
        <f>Commulative!F23/Commulative!$A23</f>
        <v>1</v>
      </c>
      <c r="G23">
        <f>Commulative!G23/Commulative!$A23</f>
        <v>1.2727272727272727</v>
      </c>
      <c r="H23">
        <f>Commulative!H23/Commulative!$A23</f>
        <v>1.1363636363636365</v>
      </c>
      <c r="I23">
        <f>Commulative!I23/Commulative!$A23</f>
        <v>0.59090909090909094</v>
      </c>
      <c r="J23">
        <f>Commulative!J23/Commulative!$A23</f>
        <v>0.86363636363636365</v>
      </c>
      <c r="K23">
        <f>Commulative!K23/Commulative!$A23</f>
        <v>0.90909090909090906</v>
      </c>
      <c r="L23">
        <f>Commulative!L23/Commulative!$A23</f>
        <v>0.54545454545454541</v>
      </c>
      <c r="M23">
        <f>Commulative!M23/Commulative!$A23</f>
        <v>0.72727272727272729</v>
      </c>
      <c r="N23">
        <f>Commulative!N23/Commulative!$A23</f>
        <v>1.1363636363636365</v>
      </c>
      <c r="O23">
        <f>Commulative!O23/Commulative!$A23</f>
        <v>0.90909090909090906</v>
      </c>
      <c r="P23">
        <f>Commulative!P23/Commulative!$A23</f>
        <v>1.0454545454545454</v>
      </c>
      <c r="Q23">
        <f>Commulative!Q23/Commulative!$A23</f>
        <v>1.3181818181818181</v>
      </c>
    </row>
    <row r="24" spans="1:17">
      <c r="A24">
        <f>Sheet1!A24</f>
        <v>23</v>
      </c>
      <c r="B24" t="str">
        <f>Sheet1!B24</f>
        <v xml:space="preserve">ArXiv* </v>
      </c>
      <c r="C24" t="str">
        <f>Sheet1!C24</f>
        <v xml:space="preserve"> Fusing finetuned models for better pretraining</v>
      </c>
      <c r="D24" t="str">
        <f>Sheet1!E24</f>
        <v xml:space="preserve"> Leshem Choshen, Elad Venezian, Noam Slonim, Yoav Katz</v>
      </c>
      <c r="E24">
        <f>Sheet1!F24</f>
        <v>2022</v>
      </c>
      <c r="F24">
        <f>Commulative!F24/Commulative!$A24</f>
        <v>0.91304347826086951</v>
      </c>
      <c r="G24">
        <f>Commulative!G24/Commulative!$A24</f>
        <v>1.2173913043478262</v>
      </c>
      <c r="H24">
        <f>Commulative!H24/Commulative!$A24</f>
        <v>1.0869565217391304</v>
      </c>
      <c r="I24">
        <f>Commulative!I24/Commulative!$A24</f>
        <v>0.52173913043478259</v>
      </c>
      <c r="J24">
        <f>Commulative!J24/Commulative!$A24</f>
        <v>0.82608695652173914</v>
      </c>
      <c r="K24">
        <f>Commulative!K24/Commulative!$A24</f>
        <v>0.86956521739130432</v>
      </c>
      <c r="L24">
        <f>Commulative!L24/Commulative!$A24</f>
        <v>0.52173913043478259</v>
      </c>
      <c r="M24">
        <f>Commulative!M24/Commulative!$A24</f>
        <v>0.69565217391304346</v>
      </c>
      <c r="N24">
        <f>Commulative!N24/Commulative!$A24</f>
        <v>1.0434782608695652</v>
      </c>
      <c r="O24">
        <f>Commulative!O24/Commulative!$A24</f>
        <v>0.86956521739130432</v>
      </c>
      <c r="P24">
        <f>Commulative!P24/Commulative!$A24</f>
        <v>1</v>
      </c>
      <c r="Q24">
        <f>Commulative!Q24/Commulative!$A24</f>
        <v>1.2608695652173914</v>
      </c>
    </row>
    <row r="25" spans="1:17">
      <c r="A25">
        <f>Sheet1!A25</f>
        <v>24</v>
      </c>
      <c r="B25" t="str">
        <f>Sheet1!B25</f>
        <v>LREC2022</v>
      </c>
      <c r="C25" t="str">
        <f>Sheet1!C25</f>
        <v xml:space="preserve"> GrASP: A Library for Extracting and Exploring Human-Interpretable Textual Patterns</v>
      </c>
      <c r="D25" t="str">
        <f>Sheet1!E25</f>
        <v xml:space="preserve"> Piyawat Lertvittayakumjorn, Leshem Choshen, Eyal Shnarch, Francesca Toni</v>
      </c>
      <c r="E25">
        <f>Sheet1!F25</f>
        <v>2022</v>
      </c>
      <c r="F25">
        <f>Commulative!F25/Commulative!$A25</f>
        <v>0.875</v>
      </c>
      <c r="G25">
        <f>Commulative!G25/Commulative!$A25</f>
        <v>1.125</v>
      </c>
      <c r="H25">
        <f>Commulative!H25/Commulative!$A25</f>
        <v>1</v>
      </c>
      <c r="I25">
        <f>Commulative!I25/Commulative!$A25</f>
        <v>0.5</v>
      </c>
      <c r="J25">
        <f>Commulative!J25/Commulative!$A25</f>
        <v>0.75</v>
      </c>
      <c r="K25">
        <f>Commulative!K25/Commulative!$A25</f>
        <v>0.83333333333333337</v>
      </c>
      <c r="L25">
        <f>Commulative!L25/Commulative!$A25</f>
        <v>0.5</v>
      </c>
      <c r="M25">
        <f>Commulative!M25/Commulative!$A25</f>
        <v>0.66666666666666663</v>
      </c>
      <c r="N25">
        <f>Commulative!N25/Commulative!$A25</f>
        <v>0.95833333333333337</v>
      </c>
      <c r="O25">
        <f>Commulative!O25/Commulative!$A25</f>
        <v>0.79166666666666663</v>
      </c>
      <c r="P25">
        <f>Commulative!P25/Commulative!$A25</f>
        <v>0.91666666666666663</v>
      </c>
      <c r="Q25">
        <f>Commulative!Q25/Commulative!$A25</f>
        <v>1.1666666666666667</v>
      </c>
    </row>
    <row r="26" spans="1:17">
      <c r="A26">
        <f>Sheet1!A26</f>
        <v>25</v>
      </c>
      <c r="B26" t="str">
        <f>Sheet1!B26</f>
        <v xml:space="preserve">SEM </v>
      </c>
      <c r="C26" t="str">
        <f>Sheet1!C26</f>
        <v xml:space="preserve"> Semantics-aware Attention Improves Neural Machine Translation</v>
      </c>
      <c r="D26" t="str">
        <f>Sheet1!E26</f>
        <v xml:space="preserve"> Aviv Slobodkin, Leshem Choshen, Omri Abend</v>
      </c>
      <c r="E26">
        <f>Sheet1!F26</f>
        <v>2023</v>
      </c>
      <c r="F26">
        <f>Commulative!F26/Commulative!$A26</f>
        <v>0.8</v>
      </c>
      <c r="G26">
        <f>Commulative!G26/Commulative!$A26</f>
        <v>1.04</v>
      </c>
      <c r="H26">
        <f>Commulative!H26/Commulative!$A26</f>
        <v>0.92</v>
      </c>
      <c r="I26">
        <f>Commulative!I26/Commulative!$A26</f>
        <v>0.48</v>
      </c>
      <c r="J26">
        <f>Commulative!J26/Commulative!$A26</f>
        <v>0.72</v>
      </c>
      <c r="K26">
        <f>Commulative!K26/Commulative!$A26</f>
        <v>0.76</v>
      </c>
      <c r="L26">
        <f>Commulative!L26/Commulative!$A26</f>
        <v>0.48</v>
      </c>
      <c r="M26">
        <f>Commulative!M26/Commulative!$A26</f>
        <v>0.64</v>
      </c>
      <c r="N26">
        <f>Commulative!N26/Commulative!$A26</f>
        <v>0.88</v>
      </c>
      <c r="O26">
        <f>Commulative!O26/Commulative!$A26</f>
        <v>0.76</v>
      </c>
      <c r="P26">
        <f>Commulative!P26/Commulative!$A26</f>
        <v>0.84</v>
      </c>
      <c r="Q26">
        <f>Commulative!Q26/Commulative!$A26</f>
        <v>1.08</v>
      </c>
    </row>
    <row r="27" spans="1:17">
      <c r="A27">
        <f>Sheet1!A27</f>
        <v>26</v>
      </c>
      <c r="B27" t="str">
        <f>Sheet1!B27</f>
        <v xml:space="preserve">Arxiv* </v>
      </c>
      <c r="C27" t="str">
        <f>Sheet1!C27</f>
        <v xml:space="preserve"> Some Grammatical Errors are Frequent, Others are Important</v>
      </c>
      <c r="D27" t="str">
        <f>Sheet1!E27</f>
        <v xml:space="preserve"> Leshem Choshen, Ofir Shifman and Omri Abend</v>
      </c>
      <c r="E27">
        <f>Sheet1!F27</f>
        <v>2023</v>
      </c>
      <c r="F27">
        <f>Commulative!F27/Commulative!$A27</f>
        <v>0.76923076923076927</v>
      </c>
      <c r="G27">
        <f>Commulative!G27/Commulative!$A27</f>
        <v>0.96153846153846156</v>
      </c>
      <c r="H27">
        <f>Commulative!H27/Commulative!$A27</f>
        <v>0.84615384615384615</v>
      </c>
      <c r="I27">
        <f>Commulative!I27/Commulative!$A27</f>
        <v>0.46153846153846156</v>
      </c>
      <c r="J27">
        <f>Commulative!J27/Commulative!$A27</f>
        <v>0.65384615384615385</v>
      </c>
      <c r="K27">
        <f>Commulative!K27/Commulative!$A27</f>
        <v>0.73076923076923073</v>
      </c>
      <c r="L27">
        <f>Commulative!L27/Commulative!$A27</f>
        <v>0.46153846153846156</v>
      </c>
      <c r="M27">
        <f>Commulative!M27/Commulative!$A27</f>
        <v>0.57692307692307687</v>
      </c>
      <c r="N27">
        <f>Commulative!N27/Commulative!$A27</f>
        <v>0.84615384615384615</v>
      </c>
      <c r="O27">
        <f>Commulative!O27/Commulative!$A27</f>
        <v>0.73076923076923073</v>
      </c>
      <c r="P27">
        <f>Commulative!P27/Commulative!$A27</f>
        <v>0.80769230769230771</v>
      </c>
      <c r="Q27">
        <f>Commulative!Q27/Commulative!$A27</f>
        <v>1</v>
      </c>
    </row>
    <row r="28" spans="1:17">
      <c r="A28">
        <f>Sheet1!A28</f>
        <v>27</v>
      </c>
      <c r="B28" t="str">
        <f>Sheet1!B28</f>
        <v xml:space="preserve">ACL2022 </v>
      </c>
      <c r="C28" t="str">
        <f>Sheet1!C28</f>
        <v xml:space="preserve"> Cluster &amp; Tune: Boost BERT Cold Start Performance in Topical Text Classification</v>
      </c>
      <c r="D28" t="str">
        <f>Sheet1!E28</f>
        <v xml:space="preserve"> Eyal Shnarch, Ariel Gera, Alon Halfon, Lena Dankin, Leshem Choshen, Ranit Aharonov, Noam Slonim</v>
      </c>
      <c r="E28">
        <f>Sheet1!F28</f>
        <v>2023</v>
      </c>
      <c r="F28">
        <f>Commulative!F28/Commulative!$A28</f>
        <v>0.70370370370370372</v>
      </c>
      <c r="G28">
        <f>Commulative!G28/Commulative!$A28</f>
        <v>0.88888888888888884</v>
      </c>
      <c r="H28">
        <f>Commulative!H28/Commulative!$A28</f>
        <v>0.77777777777777779</v>
      </c>
      <c r="I28">
        <f>Commulative!I28/Commulative!$A28</f>
        <v>0.40740740740740738</v>
      </c>
      <c r="J28">
        <f>Commulative!J28/Commulative!$A28</f>
        <v>0.62962962962962965</v>
      </c>
      <c r="K28">
        <f>Commulative!K28/Commulative!$A28</f>
        <v>0.66666666666666663</v>
      </c>
      <c r="L28">
        <f>Commulative!L28/Commulative!$A28</f>
        <v>0.44444444444444442</v>
      </c>
      <c r="M28">
        <f>Commulative!M28/Commulative!$A28</f>
        <v>0.51851851851851849</v>
      </c>
      <c r="N28">
        <f>Commulative!N28/Commulative!$A28</f>
        <v>0.77777777777777779</v>
      </c>
      <c r="O28">
        <f>Commulative!O28/Commulative!$A28</f>
        <v>0.66666666666666663</v>
      </c>
      <c r="P28">
        <f>Commulative!P28/Commulative!$A28</f>
        <v>0.77777777777777779</v>
      </c>
      <c r="Q28">
        <f>Commulative!Q28/Commulative!$A28</f>
        <v>0.96296296296296291</v>
      </c>
    </row>
    <row r="29" spans="1:17">
      <c r="A29">
        <f>Sheet1!A29</f>
        <v>28</v>
      </c>
      <c r="B29" t="str">
        <f>Sheet1!B29</f>
        <v xml:space="preserve">ACL2022* </v>
      </c>
      <c r="C29" t="str">
        <f>Sheet1!C29</f>
        <v xml:space="preserve"> The Grammar-Learning Trajectories of Neural Language Models</v>
      </c>
      <c r="D29" t="str">
        <f>Sheet1!E29</f>
        <v xml:space="preserve"> Leshem Choshen, Guy Hacohen, Daphna Weinshall, Omri Abend</v>
      </c>
      <c r="E29">
        <f>Sheet1!F29</f>
        <v>2023</v>
      </c>
      <c r="F29">
        <f>Commulative!F29/Commulative!$A29</f>
        <v>0.6785714285714286</v>
      </c>
      <c r="G29">
        <f>Commulative!G29/Commulative!$A29</f>
        <v>0.8571428571428571</v>
      </c>
      <c r="H29">
        <f>Commulative!H29/Commulative!$A29</f>
        <v>0.7142857142857143</v>
      </c>
      <c r="I29">
        <f>Commulative!I29/Commulative!$A29</f>
        <v>0.39285714285714285</v>
      </c>
      <c r="J29">
        <f>Commulative!J29/Commulative!$A29</f>
        <v>0.5714285714285714</v>
      </c>
      <c r="K29">
        <f>Commulative!K29/Commulative!$A29</f>
        <v>0.6428571428571429</v>
      </c>
      <c r="L29">
        <f>Commulative!L29/Commulative!$A29</f>
        <v>0.42857142857142855</v>
      </c>
      <c r="M29">
        <f>Commulative!M29/Commulative!$A29</f>
        <v>0.5</v>
      </c>
      <c r="N29">
        <f>Commulative!N29/Commulative!$A29</f>
        <v>0.75</v>
      </c>
      <c r="O29">
        <f>Commulative!O29/Commulative!$A29</f>
        <v>0.6428571428571429</v>
      </c>
      <c r="P29">
        <f>Commulative!P29/Commulative!$A29</f>
        <v>0.75</v>
      </c>
      <c r="Q29">
        <f>Commulative!Q29/Commulative!$A29</f>
        <v>0.8928571428571429</v>
      </c>
    </row>
    <row r="30" spans="1:17">
      <c r="A30">
        <f>Sheet1!A30</f>
        <v>29</v>
      </c>
      <c r="B30" t="str">
        <f>Sheet1!B30</f>
        <v xml:space="preserve">EMNLP2022 </v>
      </c>
      <c r="C30" t="str">
        <f>Sheet1!C30</f>
        <v xml:space="preserve"> Label Sleuth: From Unlabeled Text to a Classifier in a Few Hours</v>
      </c>
      <c r="D30" t="str">
        <f>Sheet1!E30</f>
        <v>Eyal Shnarch, Alon Halfon, Ariel Gera, Marina Danilevsky, Yannis Katsis, Leshem Choshen, Martin Santillan Cooper, Dina Epelboim, Zheng Zhang, Dakuo Wang, Lucy Yip, Liat Ein-Dor, Lena Dankin, Ilya Koifman, Noam Slonim, Yoav Katz Shnayderman, Ranit Aharonov, Yunyao Li, Naftali Liberman, Philip Levin Slesarev, Gwilym Newton, Shila Ofek</v>
      </c>
      <c r="E30">
        <f>Sheet1!F30</f>
        <v>2023</v>
      </c>
      <c r="F30">
        <f>Commulative!F30/Commulative!$A30</f>
        <v>0.65517241379310343</v>
      </c>
      <c r="G30">
        <f>Commulative!G30/Commulative!$A30</f>
        <v>0.7931034482758621</v>
      </c>
      <c r="H30">
        <f>Commulative!H30/Commulative!$A30</f>
        <v>0.68965517241379315</v>
      </c>
      <c r="I30">
        <f>Commulative!I30/Commulative!$A30</f>
        <v>0.37931034482758619</v>
      </c>
      <c r="J30">
        <f>Commulative!J30/Commulative!$A30</f>
        <v>0.55172413793103448</v>
      </c>
      <c r="K30">
        <f>Commulative!K30/Commulative!$A30</f>
        <v>0.62068965517241381</v>
      </c>
      <c r="L30">
        <f>Commulative!L30/Commulative!$A30</f>
        <v>0.41379310344827586</v>
      </c>
      <c r="M30">
        <f>Commulative!M30/Commulative!$A30</f>
        <v>0.44827586206896552</v>
      </c>
      <c r="N30">
        <f>Commulative!N30/Commulative!$A30</f>
        <v>0.72413793103448276</v>
      </c>
      <c r="O30">
        <f>Commulative!O30/Commulative!$A30</f>
        <v>0.62068965517241381</v>
      </c>
      <c r="P30">
        <f>Commulative!P30/Commulative!$A30</f>
        <v>0.72413793103448276</v>
      </c>
      <c r="Q30">
        <f>Commulative!Q30/Commulative!$A30</f>
        <v>0.86206896551724133</v>
      </c>
    </row>
    <row r="31" spans="1:17">
      <c r="A31">
        <f>Sheet1!A31</f>
        <v>30</v>
      </c>
      <c r="B31" t="str">
        <f>Sheet1!B31</f>
        <v>COLING2022</v>
      </c>
      <c r="C31" t="str">
        <f>Sheet1!C31</f>
        <v xml:space="preserve"> Tackling large action spaces in machine translation</v>
      </c>
      <c r="D31" t="str">
        <f>Sheet1!E31</f>
        <v xml:space="preserve"> Assaf Yehudai, Leshem Choshen, Omri Abend</v>
      </c>
      <c r="E31">
        <f>Sheet1!F31</f>
        <v>2023</v>
      </c>
      <c r="F31">
        <f>Commulative!F31/Commulative!$A31</f>
        <v>0.6</v>
      </c>
      <c r="G31">
        <f>Commulative!G31/Commulative!$A31</f>
        <v>0.76666666666666672</v>
      </c>
      <c r="H31">
        <f>Commulative!H31/Commulative!$A31</f>
        <v>0.6333333333333333</v>
      </c>
      <c r="I31">
        <f>Commulative!I31/Commulative!$A31</f>
        <v>0.36666666666666664</v>
      </c>
      <c r="J31">
        <f>Commulative!J31/Commulative!$A31</f>
        <v>0.5</v>
      </c>
      <c r="K31">
        <f>Commulative!K31/Commulative!$A31</f>
        <v>0.56666666666666665</v>
      </c>
      <c r="L31">
        <f>Commulative!L31/Commulative!$A31</f>
        <v>0.4</v>
      </c>
      <c r="M31">
        <f>Commulative!M31/Commulative!$A31</f>
        <v>0.43333333333333335</v>
      </c>
      <c r="N31">
        <f>Commulative!N31/Commulative!$A31</f>
        <v>0.66666666666666663</v>
      </c>
      <c r="O31">
        <f>Commulative!O31/Commulative!$A31</f>
        <v>0.6</v>
      </c>
      <c r="P31">
        <f>Commulative!P31/Commulative!$A31</f>
        <v>0.66666666666666663</v>
      </c>
      <c r="Q31">
        <f>Commulative!Q31/Commulative!$A31</f>
        <v>0.8</v>
      </c>
    </row>
    <row r="32" spans="1:17">
      <c r="A32">
        <f>Sheet1!A32</f>
        <v>31</v>
      </c>
      <c r="B32" t="str">
        <f>Sheet1!B32</f>
        <v xml:space="preserve">CoNLL2022* </v>
      </c>
      <c r="C32" t="str">
        <f>Sheet1!C32</f>
        <v xml:space="preserve"> Transition based Graph Decoder for Neural Machine Translation</v>
      </c>
      <c r="D32" t="str">
        <f>Sheet1!E32</f>
        <v xml:space="preserve"> Leshem Choshen, Omri Abend</v>
      </c>
      <c r="E32">
        <f>Sheet1!F32</f>
        <v>2023</v>
      </c>
      <c r="F32">
        <f>Commulative!F32/Commulative!$A32</f>
        <v>0.58064516129032262</v>
      </c>
      <c r="G32">
        <f>Commulative!G32/Commulative!$A32</f>
        <v>0.70967741935483875</v>
      </c>
      <c r="H32">
        <f>Commulative!H32/Commulative!$A32</f>
        <v>0.58064516129032262</v>
      </c>
      <c r="I32">
        <f>Commulative!I32/Commulative!$A32</f>
        <v>0.35483870967741937</v>
      </c>
      <c r="J32">
        <f>Commulative!J32/Commulative!$A32</f>
        <v>0.45161290322580644</v>
      </c>
      <c r="K32">
        <f>Commulative!K32/Commulative!$A32</f>
        <v>0.54838709677419351</v>
      </c>
      <c r="L32">
        <f>Commulative!L32/Commulative!$A32</f>
        <v>0.38709677419354838</v>
      </c>
      <c r="M32">
        <f>Commulative!M32/Commulative!$A32</f>
        <v>0.41935483870967744</v>
      </c>
      <c r="N32">
        <f>Commulative!N32/Commulative!$A32</f>
        <v>0.64516129032258063</v>
      </c>
      <c r="O32">
        <f>Commulative!O32/Commulative!$A32</f>
        <v>0.58064516129032262</v>
      </c>
      <c r="P32">
        <f>Commulative!P32/Commulative!$A32</f>
        <v>0.64516129032258063</v>
      </c>
      <c r="Q32">
        <f>Commulative!Q32/Commulative!$A32</f>
        <v>0.77419354838709675</v>
      </c>
    </row>
    <row r="33" spans="1:17">
      <c r="A33">
        <f>Sheet1!A33</f>
        <v>32</v>
      </c>
      <c r="B33" t="str">
        <f>Sheet1!B33</f>
        <v xml:space="preserve">CoNLL2022 (also Blackbox NLP) </v>
      </c>
      <c r="C33" t="str">
        <f>Sheet1!C33</f>
        <v xml:space="preserve"> On the Representation of Sentence Structural Invariances in Neural Machine Translation</v>
      </c>
      <c r="D33" t="str">
        <f>Sheet1!E33</f>
        <v xml:space="preserve"> Gal Patel, Leshem Choshen, Omri Abend</v>
      </c>
      <c r="E33">
        <f>Sheet1!F33</f>
        <v>2023</v>
      </c>
      <c r="F33">
        <f>Commulative!F33/Commulative!$A33</f>
        <v>0.53125</v>
      </c>
      <c r="G33">
        <f>Commulative!G33/Commulative!$A33</f>
        <v>0.65625</v>
      </c>
      <c r="H33">
        <f>Commulative!H33/Commulative!$A33</f>
        <v>0.53125</v>
      </c>
      <c r="I33">
        <f>Commulative!I33/Commulative!$A33</f>
        <v>0.34375</v>
      </c>
      <c r="J33">
        <f>Commulative!J33/Commulative!$A33</f>
        <v>0.40625</v>
      </c>
      <c r="K33">
        <f>Commulative!K33/Commulative!$A33</f>
        <v>0.53125</v>
      </c>
      <c r="L33">
        <f>Commulative!L33/Commulative!$A33</f>
        <v>0.375</v>
      </c>
      <c r="M33">
        <f>Commulative!M33/Commulative!$A33</f>
        <v>0.375</v>
      </c>
      <c r="N33">
        <f>Commulative!N33/Commulative!$A33</f>
        <v>0.625</v>
      </c>
      <c r="O33">
        <f>Commulative!O33/Commulative!$A33</f>
        <v>0.5625</v>
      </c>
      <c r="P33">
        <f>Commulative!P33/Commulative!$A33</f>
        <v>0.625</v>
      </c>
      <c r="Q33">
        <f>Commulative!Q33/Commulative!$A33</f>
        <v>0.71875</v>
      </c>
    </row>
    <row r="34" spans="1:17">
      <c r="A34">
        <f>Sheet1!A34</f>
        <v>33</v>
      </c>
      <c r="B34" t="str">
        <f>Sheet1!B34</f>
        <v xml:space="preserve">EMNLP2022 </v>
      </c>
      <c r="C34" t="str">
        <f>Sheet1!C34</f>
        <v xml:space="preserve"> PreQuEL: Quality Estimation of Machine Translation Outputs in Advance</v>
      </c>
      <c r="D34" t="str">
        <f>Sheet1!E34</f>
        <v xml:space="preserve"> Shachar Don-Yechia, Leshem Choshen, Omri Abend </v>
      </c>
      <c r="E34">
        <f>Sheet1!F34</f>
        <v>2023</v>
      </c>
      <c r="F34">
        <f>Commulative!F34/Commulative!$A34</f>
        <v>0.51515151515151514</v>
      </c>
      <c r="G34">
        <f>Commulative!G34/Commulative!$A34</f>
        <v>0.60606060606060608</v>
      </c>
      <c r="H34">
        <f>Commulative!H34/Commulative!$A34</f>
        <v>0.51515151515151514</v>
      </c>
      <c r="I34">
        <f>Commulative!I34/Commulative!$A34</f>
        <v>0.33333333333333331</v>
      </c>
      <c r="J34">
        <f>Commulative!J34/Commulative!$A34</f>
        <v>0.39393939393939392</v>
      </c>
      <c r="K34">
        <f>Commulative!K34/Commulative!$A34</f>
        <v>0.51515151515151514</v>
      </c>
      <c r="L34">
        <f>Commulative!L34/Commulative!$A34</f>
        <v>0.36363636363636365</v>
      </c>
      <c r="M34">
        <f>Commulative!M34/Commulative!$A34</f>
        <v>0.33333333333333331</v>
      </c>
      <c r="N34">
        <f>Commulative!N34/Commulative!$A34</f>
        <v>0.60606060606060608</v>
      </c>
      <c r="O34">
        <f>Commulative!O34/Commulative!$A34</f>
        <v>0.54545454545454541</v>
      </c>
      <c r="P34">
        <f>Commulative!P34/Commulative!$A34</f>
        <v>0.60606060606060608</v>
      </c>
      <c r="Q34">
        <f>Commulative!Q34/Commulative!$A34</f>
        <v>0.69696969696969702</v>
      </c>
    </row>
    <row r="35" spans="1:17">
      <c r="A35">
        <f>Sheet1!A35</f>
        <v>34</v>
      </c>
      <c r="B35" t="str">
        <f>Sheet1!B35</f>
        <v xml:space="preserve">ACL2023 </v>
      </c>
      <c r="C35" t="str">
        <f>Sheet1!C35</f>
        <v xml:space="preserve"> DisentQA: Disentangling Parametric and Contextual Knowledge with Counterfactual Question Answering</v>
      </c>
      <c r="D35" t="str">
        <f>Sheet1!E35</f>
        <v xml:space="preserve"> Ella Neeman, Roee Aharoni, Or Honovich, Leshem Choshen, Idan Szpektor, Omri Abend</v>
      </c>
      <c r="E35">
        <f>Sheet1!F35</f>
        <v>2023</v>
      </c>
      <c r="F35">
        <f>Commulative!F35/Commulative!$A35</f>
        <v>0.5</v>
      </c>
      <c r="G35">
        <f>Commulative!G35/Commulative!$A35</f>
        <v>0.55882352941176472</v>
      </c>
      <c r="H35">
        <f>Commulative!H35/Commulative!$A35</f>
        <v>0.47058823529411764</v>
      </c>
      <c r="I35">
        <f>Commulative!I35/Commulative!$A35</f>
        <v>0.3235294117647059</v>
      </c>
      <c r="J35">
        <f>Commulative!J35/Commulative!$A35</f>
        <v>0.38235294117647056</v>
      </c>
      <c r="K35">
        <f>Commulative!K35/Commulative!$A35</f>
        <v>0.47058823529411764</v>
      </c>
      <c r="L35">
        <f>Commulative!L35/Commulative!$A35</f>
        <v>0.35294117647058826</v>
      </c>
      <c r="M35">
        <f>Commulative!M35/Commulative!$A35</f>
        <v>0.3235294117647059</v>
      </c>
      <c r="N35">
        <f>Commulative!N35/Commulative!$A35</f>
        <v>0.58823529411764708</v>
      </c>
      <c r="O35">
        <f>Commulative!O35/Commulative!$A35</f>
        <v>0.52941176470588236</v>
      </c>
      <c r="P35">
        <f>Commulative!P35/Commulative!$A35</f>
        <v>0.58823529411764708</v>
      </c>
      <c r="Q35">
        <f>Commulative!Q35/Commulative!$A35</f>
        <v>0.67647058823529416</v>
      </c>
    </row>
    <row r="36" spans="1:17">
      <c r="A36">
        <f>Sheet1!A36</f>
        <v>35</v>
      </c>
      <c r="B36" t="str">
        <f>Sheet1!B36</f>
        <v xml:space="preserve">ACL2023^ </v>
      </c>
      <c r="C36" t="str">
        <f>Sheet1!C36</f>
        <v xml:space="preserve"> ColD Fusion: Collaborative Descent for Distributed Multitask Finetuning</v>
      </c>
      <c r="D36" t="str">
        <f>Sheet1!E36</f>
        <v xml:space="preserve"> Shachar Don-Yehia, Elad Venezian, Colin Raffel, Noam Slonim, Yoav Katz, Leshem Choshen </v>
      </c>
      <c r="E36">
        <f>Sheet1!F36</f>
        <v>2023</v>
      </c>
      <c r="F36">
        <f>Commulative!F36/Commulative!$A36</f>
        <v>0.48571428571428571</v>
      </c>
      <c r="G36">
        <f>Commulative!G36/Commulative!$A36</f>
        <v>0.51428571428571423</v>
      </c>
      <c r="H36">
        <f>Commulative!H36/Commulative!$A36</f>
        <v>0.42857142857142855</v>
      </c>
      <c r="I36">
        <f>Commulative!I36/Commulative!$A36</f>
        <v>0.31428571428571428</v>
      </c>
      <c r="J36">
        <f>Commulative!J36/Commulative!$A36</f>
        <v>0.34285714285714286</v>
      </c>
      <c r="K36">
        <f>Commulative!K36/Commulative!$A36</f>
        <v>0.45714285714285713</v>
      </c>
      <c r="L36">
        <f>Commulative!L36/Commulative!$A36</f>
        <v>0.34285714285714286</v>
      </c>
      <c r="M36">
        <f>Commulative!M36/Commulative!$A36</f>
        <v>0.31428571428571428</v>
      </c>
      <c r="N36">
        <f>Commulative!N36/Commulative!$A36</f>
        <v>0.5714285714285714</v>
      </c>
      <c r="O36">
        <f>Commulative!O36/Commulative!$A36</f>
        <v>0.51428571428571423</v>
      </c>
      <c r="P36">
        <f>Commulative!P36/Commulative!$A36</f>
        <v>0.5714285714285714</v>
      </c>
      <c r="Q36">
        <f>Commulative!Q36/Commulative!$A36</f>
        <v>0.65714285714285714</v>
      </c>
    </row>
    <row r="37" spans="1:17">
      <c r="A37">
        <f>Sheet1!A37</f>
        <v>36</v>
      </c>
      <c r="B37" t="str">
        <f>Sheet1!B37</f>
        <v>CoNLL2023</v>
      </c>
      <c r="C37" t="str">
        <f>Sheet1!C37</f>
        <v>Findings of the {B}aby{LM} Challenge: Sample-Efficient Pretraining on Developmentally Plausible Corpora</v>
      </c>
      <c r="D37" t="str">
        <f>Sheet1!E37</f>
        <v xml:space="preserve"> Alex Warstadt, Aaron Mueller, Leshem Choshen, Ethan Gotlieb Wilcox, Chengxu Zhuang, Adina Williams, Ryan Cotterell, Tal Linzen</v>
      </c>
      <c r="E37">
        <f>Sheet1!F37</f>
        <v>2023</v>
      </c>
      <c r="F37">
        <f>Commulative!F37/Commulative!$A37</f>
        <v>0.47222222222222221</v>
      </c>
      <c r="G37">
        <f>Commulative!G37/Commulative!$A37</f>
        <v>0.5</v>
      </c>
      <c r="H37">
        <f>Commulative!H37/Commulative!$A37</f>
        <v>0.3888888888888889</v>
      </c>
      <c r="I37">
        <f>Commulative!I37/Commulative!$A37</f>
        <v>0.30555555555555558</v>
      </c>
      <c r="J37">
        <f>Commulative!J37/Commulative!$A37</f>
        <v>0.30555555555555558</v>
      </c>
      <c r="K37">
        <f>Commulative!K37/Commulative!$A37</f>
        <v>0.44444444444444442</v>
      </c>
      <c r="L37">
        <f>Commulative!L37/Commulative!$A37</f>
        <v>0.33333333333333331</v>
      </c>
      <c r="M37">
        <f>Commulative!M37/Commulative!$A37</f>
        <v>0.30555555555555558</v>
      </c>
      <c r="N37">
        <f>Commulative!N37/Commulative!$A37</f>
        <v>0.52777777777777779</v>
      </c>
      <c r="O37">
        <f>Commulative!O37/Commulative!$A37</f>
        <v>0.47222222222222221</v>
      </c>
      <c r="P37">
        <f>Commulative!P37/Commulative!$A37</f>
        <v>0.52777777777777779</v>
      </c>
      <c r="Q37">
        <f>Commulative!Q37/Commulative!$A37</f>
        <v>0.61111111111111116</v>
      </c>
    </row>
    <row r="38" spans="1:17">
      <c r="A38">
        <f>Sheet1!A39</f>
        <v>38</v>
      </c>
      <c r="B38" t="str">
        <f>Sheet1!B39</f>
        <v xml:space="preserve">EMNLP2023 </v>
      </c>
      <c r="C38" t="str">
        <f>Sheet1!C39</f>
        <v xml:space="preserve"> Knowledge is a Region in Weight Space for Fine-tuned Language Models</v>
      </c>
      <c r="D38" t="str">
        <f>Sheet1!E39</f>
        <v>Almog Gueta, Elad Venezian, Colin Raffel, Noam Slonim, Yoav Katz, Leshem Choshen</v>
      </c>
      <c r="E38">
        <f>Sheet1!F39</f>
        <v>2023</v>
      </c>
      <c r="F38">
        <f>Commulative!F38/Commulative!$A38</f>
        <v>0.42105263157894735</v>
      </c>
      <c r="G38">
        <f>Commulative!G38/Commulative!$A38</f>
        <v>0.44736842105263158</v>
      </c>
      <c r="H38">
        <f>Commulative!H38/Commulative!$A38</f>
        <v>0.36842105263157893</v>
      </c>
      <c r="I38">
        <f>Commulative!I38/Commulative!$A38</f>
        <v>0.26315789473684209</v>
      </c>
      <c r="J38">
        <f>Commulative!J38/Commulative!$A38</f>
        <v>0.26315789473684209</v>
      </c>
      <c r="K38">
        <f>Commulative!K38/Commulative!$A38</f>
        <v>0.39473684210526316</v>
      </c>
      <c r="L38">
        <f>Commulative!L38/Commulative!$A38</f>
        <v>0.28947368421052633</v>
      </c>
      <c r="M38">
        <f>Commulative!M38/Commulative!$A38</f>
        <v>0.26315789473684209</v>
      </c>
      <c r="N38">
        <f>Commulative!N38/Commulative!$A38</f>
        <v>0.47368421052631576</v>
      </c>
      <c r="O38">
        <f>Commulative!O38/Commulative!$A38</f>
        <v>0.42105263157894735</v>
      </c>
      <c r="P38">
        <f>Commulative!P38/Commulative!$A38</f>
        <v>0.47368421052631576</v>
      </c>
      <c r="Q38">
        <f>Commulative!Q38/Commulative!$A38</f>
        <v>0.55263157894736847</v>
      </c>
    </row>
    <row r="39" spans="1:17">
      <c r="A39">
        <f>Sheet1!A40</f>
        <v>39</v>
      </c>
      <c r="B39" t="str">
        <f>Sheet1!B40</f>
        <v xml:space="preserve">CoNLL </v>
      </c>
      <c r="C39" t="str">
        <f>Sheet1!C40</f>
        <v xml:space="preserve"> MuLER: Multi-Level Evaluation with Reference</v>
      </c>
      <c r="D39" t="str">
        <f>Sheet1!E40</f>
        <v>Tailin Karidi, Leshem Choshen, Gal Patel, Omri Abend</v>
      </c>
      <c r="E39">
        <f>Sheet1!F40</f>
        <v>2023</v>
      </c>
      <c r="F39">
        <f>Commulative!F39/Commulative!$A39</f>
        <v>0.41025641025641024</v>
      </c>
      <c r="G39">
        <f>Commulative!G39/Commulative!$A39</f>
        <v>0.41025641025641024</v>
      </c>
      <c r="H39">
        <f>Commulative!H39/Commulative!$A39</f>
        <v>0.35897435897435898</v>
      </c>
      <c r="I39">
        <f>Commulative!I39/Commulative!$A39</f>
        <v>0.25641025641025639</v>
      </c>
      <c r="J39">
        <f>Commulative!J39/Commulative!$A39</f>
        <v>0.25641025641025639</v>
      </c>
      <c r="K39">
        <f>Commulative!K39/Commulative!$A39</f>
        <v>0.38461538461538464</v>
      </c>
      <c r="L39">
        <f>Commulative!L39/Commulative!$A39</f>
        <v>0.28205128205128205</v>
      </c>
      <c r="M39">
        <f>Commulative!M39/Commulative!$A39</f>
        <v>0.25641025641025639</v>
      </c>
      <c r="N39">
        <f>Commulative!N39/Commulative!$A39</f>
        <v>0.46153846153846156</v>
      </c>
      <c r="O39">
        <f>Commulative!O39/Commulative!$A39</f>
        <v>0.41025641025641024</v>
      </c>
      <c r="P39">
        <f>Commulative!P39/Commulative!$A39</f>
        <v>0.46153846153846156</v>
      </c>
      <c r="Q39">
        <f>Commulative!Q39/Commulative!$A39</f>
        <v>0.53846153846153844</v>
      </c>
    </row>
    <row r="40" spans="1:17">
      <c r="A40">
        <f>Sheet1!A41</f>
        <v>40</v>
      </c>
      <c r="B40" t="str">
        <f>Sheet1!B41</f>
        <v xml:space="preserve">Neurips2023 </v>
      </c>
      <c r="C40" t="str">
        <f>Sheet1!C41</f>
        <v xml:space="preserve"> TIES-Merging: Resolving Interference When Merging Models</v>
      </c>
      <c r="D40" t="str">
        <f>Sheet1!E41</f>
        <v>Prateek Yadav, Derek Tam, Leshem Choshen, Colin Raffel, Mohit Bansal</v>
      </c>
      <c r="E40">
        <f>Sheet1!F41</f>
        <v>2023</v>
      </c>
      <c r="F40">
        <f>Commulative!F40/Commulative!$A40</f>
        <v>0.4</v>
      </c>
      <c r="G40">
        <f>Commulative!G40/Commulative!$A40</f>
        <v>0.375</v>
      </c>
      <c r="H40">
        <f>Commulative!H40/Commulative!$A40</f>
        <v>0.32500000000000001</v>
      </c>
      <c r="I40">
        <f>Commulative!I40/Commulative!$A40</f>
        <v>0.25</v>
      </c>
      <c r="J40">
        <f>Commulative!J40/Commulative!$A40</f>
        <v>0.25</v>
      </c>
      <c r="K40">
        <f>Commulative!K40/Commulative!$A40</f>
        <v>0.35</v>
      </c>
      <c r="L40">
        <f>Commulative!L40/Commulative!$A40</f>
        <v>0.27500000000000002</v>
      </c>
      <c r="M40">
        <f>Commulative!M40/Commulative!$A40</f>
        <v>0.22500000000000001</v>
      </c>
      <c r="N40">
        <f>Commulative!N40/Commulative!$A40</f>
        <v>0.45</v>
      </c>
      <c r="O40">
        <f>Commulative!O40/Commulative!$A40</f>
        <v>0.4</v>
      </c>
      <c r="P40">
        <f>Commulative!P40/Commulative!$A40</f>
        <v>0.45</v>
      </c>
      <c r="Q40">
        <f>Commulative!Q40/Commulative!$A40</f>
        <v>0.52500000000000002</v>
      </c>
    </row>
    <row r="41" spans="1:17">
      <c r="A41">
        <f>Sheet1!A42</f>
        <v>41</v>
      </c>
      <c r="B41" t="str">
        <f>Sheet1!B42</f>
        <v xml:space="preserve">EMNLP2023 </v>
      </c>
      <c r="C41" t="str">
        <f>Sheet1!C42</f>
        <v xml:space="preserve"> Human Learning by Model Feedback: The Dynamics of Iterative Prompting with Midjourney</v>
      </c>
      <c r="D41" t="str">
        <f>Sheet1!E42</f>
        <v xml:space="preserve"> Shachar Don-Yechia, Leshem Choshen, Omri Abend </v>
      </c>
      <c r="E41">
        <f>Sheet1!F42</f>
        <v>2023</v>
      </c>
      <c r="F41">
        <f>Commulative!F41/Commulative!$A41</f>
        <v>0.3902439024390244</v>
      </c>
      <c r="G41">
        <f>Commulative!G41/Commulative!$A41</f>
        <v>0.34146341463414637</v>
      </c>
      <c r="H41">
        <f>Commulative!H41/Commulative!$A41</f>
        <v>0.29268292682926828</v>
      </c>
      <c r="I41">
        <f>Commulative!I41/Commulative!$A41</f>
        <v>0.24390243902439024</v>
      </c>
      <c r="J41">
        <f>Commulative!J41/Commulative!$A41</f>
        <v>0.24390243902439024</v>
      </c>
      <c r="K41">
        <f>Commulative!K41/Commulative!$A41</f>
        <v>0.34146341463414637</v>
      </c>
      <c r="L41">
        <f>Commulative!L41/Commulative!$A41</f>
        <v>0.26829268292682928</v>
      </c>
      <c r="M41">
        <f>Commulative!M41/Commulative!$A41</f>
        <v>0.21951219512195122</v>
      </c>
      <c r="N41">
        <f>Commulative!N41/Commulative!$A41</f>
        <v>0.41463414634146339</v>
      </c>
      <c r="O41">
        <f>Commulative!O41/Commulative!$A41</f>
        <v>0.3902439024390244</v>
      </c>
      <c r="P41">
        <f>Commulative!P41/Commulative!$A41</f>
        <v>0.41463414634146339</v>
      </c>
      <c r="Q41">
        <f>Commulative!Q41/Commulative!$A41</f>
        <v>0.48780487804878048</v>
      </c>
    </row>
    <row r="42" spans="1:17">
      <c r="A42">
        <f>Sheet1!A43</f>
        <v>42</v>
      </c>
      <c r="B42" t="str">
        <f>Sheet1!B43</f>
        <v xml:space="preserve">CONDA@ACL </v>
      </c>
      <c r="C42" t="str">
        <f>Sheet1!C43</f>
        <v xml:space="preserve"> Data Contamination Report from the 2024 CONDA Shared Task</v>
      </c>
      <c r="D42" t="str">
        <f>Sheet1!E43</f>
        <v xml:space="preserve"> Numerous.</v>
      </c>
      <c r="E42">
        <f>Sheet1!F43</f>
        <v>2024</v>
      </c>
      <c r="F42">
        <f>Commulative!F42/Commulative!$A42</f>
        <v>0.35714285714285715</v>
      </c>
      <c r="G42">
        <f>Commulative!G42/Commulative!$A42</f>
        <v>0.33333333333333331</v>
      </c>
      <c r="H42">
        <f>Commulative!H42/Commulative!$A42</f>
        <v>0.2857142857142857</v>
      </c>
      <c r="I42">
        <f>Commulative!I42/Commulative!$A42</f>
        <v>0.21428571428571427</v>
      </c>
      <c r="J42">
        <f>Commulative!J42/Commulative!$A42</f>
        <v>0.23809523809523808</v>
      </c>
      <c r="K42">
        <f>Commulative!K42/Commulative!$A42</f>
        <v>0.33333333333333331</v>
      </c>
      <c r="L42">
        <f>Commulative!L42/Commulative!$A42</f>
        <v>0.26190476190476192</v>
      </c>
      <c r="M42">
        <f>Commulative!M42/Commulative!$A42</f>
        <v>0.19047619047619047</v>
      </c>
      <c r="N42">
        <f>Commulative!N42/Commulative!$A42</f>
        <v>0.38095238095238093</v>
      </c>
      <c r="O42">
        <f>Commulative!O42/Commulative!$A42</f>
        <v>0.38095238095238093</v>
      </c>
      <c r="P42">
        <f>Commulative!P42/Commulative!$A42</f>
        <v>0.40476190476190477</v>
      </c>
      <c r="Q42">
        <f>Commulative!Q42/Commulative!$A42</f>
        <v>0.47619047619047616</v>
      </c>
    </row>
    <row r="43" spans="1:17">
      <c r="A43">
        <f>Sheet1!A44</f>
        <v>43</v>
      </c>
      <c r="B43" t="str">
        <f>Sheet1!B44</f>
        <v xml:space="preserve">LREC-Coling 2024 </v>
      </c>
      <c r="C43" t="str">
        <f>Sheet1!C44</f>
        <v>Jump to Conclusions: Short-Cutting Transformers With Linear Transformations</v>
      </c>
      <c r="D43" t="str">
        <f>Sheet1!E44</f>
        <v>Alexander Yom Din, Taelin Karidi, Leshem Choshen, Mor Geva</v>
      </c>
      <c r="E43">
        <f>Sheet1!F44</f>
        <v>2024</v>
      </c>
      <c r="F43">
        <f>Commulative!F43/Commulative!$A43</f>
        <v>0.32558139534883723</v>
      </c>
      <c r="G43">
        <f>Commulative!G43/Commulative!$A43</f>
        <v>0.30232558139534882</v>
      </c>
      <c r="H43">
        <f>Commulative!H43/Commulative!$A43</f>
        <v>0.27906976744186046</v>
      </c>
      <c r="I43">
        <f>Commulative!I43/Commulative!$A43</f>
        <v>0.20930232558139536</v>
      </c>
      <c r="J43">
        <f>Commulative!J43/Commulative!$A43</f>
        <v>0.23255813953488372</v>
      </c>
      <c r="K43">
        <f>Commulative!K43/Commulative!$A43</f>
        <v>0.30232558139534882</v>
      </c>
      <c r="L43">
        <f>Commulative!L43/Commulative!$A43</f>
        <v>0.23255813953488372</v>
      </c>
      <c r="M43">
        <f>Commulative!M43/Commulative!$A43</f>
        <v>0.16279069767441862</v>
      </c>
      <c r="N43">
        <f>Commulative!N43/Commulative!$A43</f>
        <v>0.34883720930232559</v>
      </c>
      <c r="O43">
        <f>Commulative!O43/Commulative!$A43</f>
        <v>0.34883720930232559</v>
      </c>
      <c r="P43">
        <f>Commulative!P43/Commulative!$A43</f>
        <v>0.39534883720930231</v>
      </c>
      <c r="Q43">
        <f>Commulative!Q43/Commulative!$A43</f>
        <v>0.46511627906976744</v>
      </c>
    </row>
    <row r="44" spans="1:17">
      <c r="A44">
        <f>Sheet1!A46</f>
        <v>45</v>
      </c>
      <c r="B44" t="str">
        <f>Sheet1!B46</f>
        <v xml:space="preserve">NAACL2024^ </v>
      </c>
      <c r="C44" t="str">
        <f>Sheet1!C46</f>
        <v xml:space="preserve"> Efficient Benchmarking (of Language Models)‏</v>
      </c>
      <c r="D44" t="str">
        <f>Sheet1!E46</f>
        <v xml:space="preserve"> Yotam Perlitz, Elron Bandel, Ariel Gera, Ofir Arviv, Liat Ein-Dor, Eyal Shnarch, Noam Slonim, Michal Shmueli-Scheuer, Leshem Choshen</v>
      </c>
      <c r="E44">
        <f>Sheet1!F46</f>
        <v>2024</v>
      </c>
      <c r="F44">
        <f>Commulative!F44/Commulative!$A44</f>
        <v>0.31111111111111112</v>
      </c>
      <c r="G44">
        <f>Commulative!G44/Commulative!$A44</f>
        <v>0.26666666666666666</v>
      </c>
      <c r="H44">
        <f>Commulative!H44/Commulative!$A44</f>
        <v>0.24444444444444444</v>
      </c>
      <c r="I44">
        <f>Commulative!I44/Commulative!$A44</f>
        <v>0.2</v>
      </c>
      <c r="J44">
        <f>Commulative!J44/Commulative!$A44</f>
        <v>0.22222222222222221</v>
      </c>
      <c r="K44">
        <f>Commulative!K44/Commulative!$A44</f>
        <v>0.28888888888888886</v>
      </c>
      <c r="L44">
        <f>Commulative!L44/Commulative!$A44</f>
        <v>0.22222222222222221</v>
      </c>
      <c r="M44">
        <f>Commulative!M44/Commulative!$A44</f>
        <v>0.15555555555555556</v>
      </c>
      <c r="N44">
        <f>Commulative!N44/Commulative!$A44</f>
        <v>0.33333333333333331</v>
      </c>
      <c r="O44">
        <f>Commulative!O44/Commulative!$A44</f>
        <v>0.33333333333333331</v>
      </c>
      <c r="P44">
        <f>Commulative!P44/Commulative!$A44</f>
        <v>0.37777777777777777</v>
      </c>
      <c r="Q44">
        <f>Commulative!Q44/Commulative!$A44</f>
        <v>0.42222222222222222</v>
      </c>
    </row>
    <row r="45" spans="1:17">
      <c r="A45">
        <f>Sheet1!A47</f>
        <v>46</v>
      </c>
      <c r="B45" t="str">
        <f>Sheet1!B47</f>
        <v xml:space="preserve">ACL2024 </v>
      </c>
      <c r="C45" t="str">
        <f>Sheet1!C47</f>
        <v xml:space="preserve"> Deductive Closure Training of Language Models for Coherence, Accuracy, and Updatability</v>
      </c>
      <c r="D45" t="str">
        <f>Sheet1!E47</f>
        <v xml:space="preserve"> Afra Feyza Akyürek, Ekin Akyürek, Leshem Choshen, Derry Wijaya, Jacob Andreas</v>
      </c>
      <c r="E45">
        <f>Sheet1!F47</f>
        <v>2024</v>
      </c>
      <c r="F45">
        <f>Commulative!F45/Commulative!$A45</f>
        <v>0.30434782608695654</v>
      </c>
      <c r="G45">
        <f>Commulative!G45/Commulative!$A45</f>
        <v>0.2608695652173913</v>
      </c>
      <c r="H45">
        <f>Commulative!H45/Commulative!$A45</f>
        <v>0.2391304347826087</v>
      </c>
      <c r="I45">
        <f>Commulative!I45/Commulative!$A45</f>
        <v>0.19565217391304349</v>
      </c>
      <c r="J45">
        <f>Commulative!J45/Commulative!$A45</f>
        <v>0.21739130434782608</v>
      </c>
      <c r="K45">
        <f>Commulative!K45/Commulative!$A45</f>
        <v>0.2608695652173913</v>
      </c>
      <c r="L45">
        <f>Commulative!L45/Commulative!$A45</f>
        <v>0.21739130434782608</v>
      </c>
      <c r="M45">
        <f>Commulative!M45/Commulative!$A45</f>
        <v>0.15217391304347827</v>
      </c>
      <c r="N45">
        <f>Commulative!N45/Commulative!$A45</f>
        <v>0.32608695652173914</v>
      </c>
      <c r="O45">
        <f>Commulative!O45/Commulative!$A45</f>
        <v>0.30434782608695654</v>
      </c>
      <c r="P45">
        <f>Commulative!P45/Commulative!$A45</f>
        <v>0.34782608695652173</v>
      </c>
      <c r="Q45">
        <f>Commulative!Q45/Commulative!$A45</f>
        <v>0.39130434782608697</v>
      </c>
    </row>
    <row r="46" spans="1:17">
      <c r="A46">
        <f>Sheet1!A48</f>
        <v>47</v>
      </c>
      <c r="B46" t="str">
        <f>Sheet1!B48</f>
        <v xml:space="preserve">CogSci2024 </v>
      </c>
      <c r="C46" t="str">
        <f>Sheet1!C48</f>
        <v xml:space="preserve"> Insights from the first BabyLM Challenge: Training sample efficient language models on a developmentally plausible corpus</v>
      </c>
      <c r="D46" t="str">
        <f>Sheet1!E48</f>
        <v xml:space="preserve"> Alex Warstadt, Aaron Mueller, Leshem Choshen, Ethan Gotlieb Wilcox, Chengxu Zhuang, Adina Williams, Ryan Cotterell, Tal Linzen</v>
      </c>
      <c r="E46">
        <f>Sheet1!F48</f>
        <v>2024</v>
      </c>
      <c r="F46">
        <f>Commulative!F46/Commulative!$A46</f>
        <v>0.2978723404255319</v>
      </c>
      <c r="G46">
        <f>Commulative!G46/Commulative!$A46</f>
        <v>0.23404255319148937</v>
      </c>
      <c r="H46">
        <f>Commulative!H46/Commulative!$A46</f>
        <v>0.21276595744680851</v>
      </c>
      <c r="I46">
        <f>Commulative!I46/Commulative!$A46</f>
        <v>0.19148936170212766</v>
      </c>
      <c r="J46">
        <f>Commulative!J46/Commulative!$A46</f>
        <v>0.19148936170212766</v>
      </c>
      <c r="K46">
        <f>Commulative!K46/Commulative!$A46</f>
        <v>0.25531914893617019</v>
      </c>
      <c r="L46">
        <f>Commulative!L46/Commulative!$A46</f>
        <v>0.21276595744680851</v>
      </c>
      <c r="M46">
        <f>Commulative!M46/Commulative!$A46</f>
        <v>0.14893617021276595</v>
      </c>
      <c r="N46">
        <f>Commulative!N46/Commulative!$A46</f>
        <v>0.31914893617021278</v>
      </c>
      <c r="O46">
        <f>Commulative!O46/Commulative!$A46</f>
        <v>0.2978723404255319</v>
      </c>
      <c r="P46">
        <f>Commulative!P46/Commulative!$A46</f>
        <v>0.34042553191489361</v>
      </c>
      <c r="Q46">
        <f>Commulative!Q46/Commulative!$A46</f>
        <v>0.38297872340425532</v>
      </c>
    </row>
    <row r="47" spans="1:17">
      <c r="A47">
        <f>Sheet1!A49</f>
        <v>48</v>
      </c>
      <c r="B47" t="str">
        <f>Sheet1!B49</f>
        <v xml:space="preserve">ICLR2024^ </v>
      </c>
      <c r="C47" t="str">
        <f>Sheet1!C49</f>
        <v xml:space="preserve"> Genie: Achieving human parity in content grounded datasets generation</v>
      </c>
      <c r="D47" t="str">
        <f>Sheet1!E49</f>
        <v xml:space="preserve"> Asaf Yehudai, Boaz Carmeli, Yosi Mass, Ofir Arviv, Nathaniel Mills, Assaf Toledo, Eyal Shnarch, Leshem Choshen</v>
      </c>
      <c r="E47">
        <f>Sheet1!F49</f>
        <v>2024</v>
      </c>
      <c r="F47">
        <f>Commulative!F47/Commulative!$A47</f>
        <v>0.27083333333333331</v>
      </c>
      <c r="G47">
        <f>Commulative!G47/Commulative!$A47</f>
        <v>0.20833333333333334</v>
      </c>
      <c r="H47">
        <f>Commulative!H47/Commulative!$A47</f>
        <v>0.20833333333333334</v>
      </c>
      <c r="I47">
        <f>Commulative!I47/Commulative!$A47</f>
        <v>0.16666666666666666</v>
      </c>
      <c r="J47">
        <f>Commulative!J47/Commulative!$A47</f>
        <v>0.16666666666666666</v>
      </c>
      <c r="K47">
        <f>Commulative!K47/Commulative!$A47</f>
        <v>0.22916666666666666</v>
      </c>
      <c r="L47">
        <f>Commulative!L47/Commulative!$A47</f>
        <v>0.1875</v>
      </c>
      <c r="M47">
        <f>Commulative!M47/Commulative!$A47</f>
        <v>0.125</v>
      </c>
      <c r="N47">
        <f>Commulative!N47/Commulative!$A47</f>
        <v>0.29166666666666669</v>
      </c>
      <c r="O47">
        <f>Commulative!O47/Commulative!$A47</f>
        <v>0.27083333333333331</v>
      </c>
      <c r="P47">
        <f>Commulative!P47/Commulative!$A47</f>
        <v>0.3125</v>
      </c>
      <c r="Q47">
        <f>Commulative!Q47/Commulative!$A47</f>
        <v>0.35416666666666669</v>
      </c>
    </row>
    <row r="48" spans="1:17">
      <c r="A48">
        <f>Sheet1!A50</f>
        <v>49</v>
      </c>
      <c r="B48" t="str">
        <f>Sheet1!B50</f>
        <v xml:space="preserve">ICML2024 </v>
      </c>
      <c r="C48" t="str">
        <f>Sheet1!C50</f>
        <v xml:space="preserve"> Asymmetry in low rank adapters of foundation models</v>
      </c>
      <c r="D48" t="str">
        <f>Sheet1!E50</f>
        <v>Jiacheng Zhu, Kristjan Greenewald, Kimia Nadjahi, Haitz Sáez de Ocáriz Borde, Rickard Brüel Gabrielsson, Leshem Choshen, Marzyeh Ghassemi, Mikhail Yurochkin, Justin Solomon</v>
      </c>
      <c r="E48">
        <f>Sheet1!F50</f>
        <v>2024</v>
      </c>
      <c r="F48">
        <f>Commulative!F48/Commulative!$A48</f>
        <v>0.26530612244897961</v>
      </c>
      <c r="G48">
        <f>Commulative!G48/Commulative!$A48</f>
        <v>0.20408163265306123</v>
      </c>
      <c r="H48">
        <f>Commulative!H48/Commulative!$A48</f>
        <v>0.18367346938775511</v>
      </c>
      <c r="I48">
        <f>Commulative!I48/Commulative!$A48</f>
        <v>0.14285714285714285</v>
      </c>
      <c r="J48">
        <f>Commulative!J48/Commulative!$A48</f>
        <v>0.14285714285714285</v>
      </c>
      <c r="K48">
        <f>Commulative!K48/Commulative!$A48</f>
        <v>0.22448979591836735</v>
      </c>
      <c r="L48">
        <f>Commulative!L48/Commulative!$A48</f>
        <v>0.18367346938775511</v>
      </c>
      <c r="M48">
        <f>Commulative!M48/Commulative!$A48</f>
        <v>0.12244897959183673</v>
      </c>
      <c r="N48">
        <f>Commulative!N48/Commulative!$A48</f>
        <v>0.2857142857142857</v>
      </c>
      <c r="O48">
        <f>Commulative!O48/Commulative!$A48</f>
        <v>0.26530612244897961</v>
      </c>
      <c r="P48">
        <f>Commulative!P48/Commulative!$A48</f>
        <v>0.2857142857142857</v>
      </c>
      <c r="Q48">
        <f>Commulative!Q48/Commulative!$A48</f>
        <v>0.32653061224489793</v>
      </c>
    </row>
    <row r="49" spans="1:17">
      <c r="A49">
        <f>Sheet1!A51</f>
        <v>50</v>
      </c>
      <c r="B49" t="str">
        <f>Sheet1!B51</f>
        <v xml:space="preserve">ICML2024 </v>
      </c>
      <c r="C49" t="str">
        <f>Sheet1!C51</f>
        <v xml:space="preserve"> tinyBenchmarks: evaluating LLMs with fewer examples</v>
      </c>
      <c r="D49" t="str">
        <f>Sheet1!E51</f>
        <v xml:space="preserve"> Felipe Maia Polo, Lucas Weber, Leshem Choshen, Yuekai Sun, Gongjun Xu, Mikhail Yurochkin</v>
      </c>
      <c r="E49">
        <f>Sheet1!F51</f>
        <v>2024</v>
      </c>
      <c r="F49">
        <f>Commulative!F49/Commulative!$A49</f>
        <v>0.26</v>
      </c>
      <c r="G49">
        <f>Commulative!G49/Commulative!$A49</f>
        <v>0.18</v>
      </c>
      <c r="H49">
        <f>Commulative!H49/Commulative!$A49</f>
        <v>0.16</v>
      </c>
      <c r="I49">
        <f>Commulative!I49/Commulative!$A49</f>
        <v>0.14000000000000001</v>
      </c>
      <c r="J49">
        <f>Commulative!J49/Commulative!$A49</f>
        <v>0.12</v>
      </c>
      <c r="K49">
        <f>Commulative!K49/Commulative!$A49</f>
        <v>0.22</v>
      </c>
      <c r="L49">
        <f>Commulative!L49/Commulative!$A49</f>
        <v>0.18</v>
      </c>
      <c r="M49">
        <f>Commulative!M49/Commulative!$A49</f>
        <v>0.12</v>
      </c>
      <c r="N49">
        <f>Commulative!N49/Commulative!$A49</f>
        <v>0.28000000000000003</v>
      </c>
      <c r="O49">
        <f>Commulative!O49/Commulative!$A49</f>
        <v>0.26</v>
      </c>
      <c r="P49">
        <f>Commulative!P49/Commulative!$A49</f>
        <v>0.28000000000000003</v>
      </c>
      <c r="Q49">
        <f>Commulative!Q49/Commulative!$A49</f>
        <v>0.3</v>
      </c>
    </row>
    <row r="50" spans="1:17">
      <c r="A50">
        <f>Sheet1!A52</f>
        <v>51</v>
      </c>
      <c r="B50" t="str">
        <f>Sheet1!B52</f>
        <v xml:space="preserve">TACL2024 </v>
      </c>
      <c r="C50" t="str">
        <f>Sheet1!C52</f>
        <v xml:space="preserve"> Holmes: Benchmark the Linguistic Competence of Language Models</v>
      </c>
      <c r="D50" t="str">
        <f>Sheet1!E52</f>
        <v xml:space="preserve"> Andreas Waldis, Yotam Perlitz, Leshem Choshen, Yufang Hou, Iryna Gurevych</v>
      </c>
      <c r="E50">
        <f>Sheet1!F52</f>
        <v>2024</v>
      </c>
      <c r="F50">
        <f>Commulative!F50/Commulative!$A50</f>
        <v>0.23529411764705882</v>
      </c>
      <c r="G50">
        <f>Commulative!G50/Commulative!$A50</f>
        <v>0.17647058823529413</v>
      </c>
      <c r="H50">
        <f>Commulative!H50/Commulative!$A50</f>
        <v>0.13725490196078433</v>
      </c>
      <c r="I50">
        <f>Commulative!I50/Commulative!$A50</f>
        <v>0.13725490196078433</v>
      </c>
      <c r="J50">
        <f>Commulative!J50/Commulative!$A50</f>
        <v>0.11764705882352941</v>
      </c>
      <c r="K50">
        <f>Commulative!K50/Commulative!$A50</f>
        <v>0.19607843137254902</v>
      </c>
      <c r="L50">
        <f>Commulative!L50/Commulative!$A50</f>
        <v>0.17647058823529413</v>
      </c>
      <c r="M50">
        <f>Commulative!M50/Commulative!$A50</f>
        <v>0.11764705882352941</v>
      </c>
      <c r="N50">
        <f>Commulative!N50/Commulative!$A50</f>
        <v>0.25490196078431371</v>
      </c>
      <c r="O50">
        <f>Commulative!O50/Commulative!$A50</f>
        <v>0.25490196078431371</v>
      </c>
      <c r="P50">
        <f>Commulative!P50/Commulative!$A50</f>
        <v>0.25490196078431371</v>
      </c>
      <c r="Q50">
        <f>Commulative!Q50/Commulative!$A50</f>
        <v>0.27450980392156865</v>
      </c>
    </row>
    <row r="51" spans="1:17">
      <c r="A51">
        <f>Sheet1!A53</f>
        <v>52</v>
      </c>
      <c r="B51" t="str">
        <f>Sheet1!B53</f>
        <v xml:space="preserve">EMNLP 2024 Demo </v>
      </c>
      <c r="C51" t="str">
        <f>Sheet1!C53</f>
        <v xml:space="preserve"> Unitxt: Flexible, shareable and reusable data preparation and evaluation for generative ai</v>
      </c>
      <c r="D51" t="str">
        <f>Sheet1!E53</f>
        <v xml:space="preserve"> Elron Bandel, Yotam Perlitz, Elad Venezian, Roni FriedmanMelamed, Ofir Arviv, Matan Orbach, Shachar Don-Yehyia, Dafna Sheinwald, Ariel Gera, Leshem Choshen, Michal Shmueli-Scheuer, Yoav Katz</v>
      </c>
      <c r="E51">
        <f>Sheet1!F53</f>
        <v>2024</v>
      </c>
      <c r="F51">
        <f>Commulative!F51/Commulative!$A51</f>
        <v>0.21153846153846154</v>
      </c>
      <c r="G51">
        <f>Commulative!G51/Commulative!$A51</f>
        <v>0.15384615384615385</v>
      </c>
      <c r="H51">
        <f>Commulative!H51/Commulative!$A51</f>
        <v>0.13461538461538461</v>
      </c>
      <c r="I51">
        <f>Commulative!I51/Commulative!$A51</f>
        <v>0.11538461538461539</v>
      </c>
      <c r="J51">
        <f>Commulative!J51/Commulative!$A51</f>
        <v>0.11538461538461539</v>
      </c>
      <c r="K51">
        <f>Commulative!K51/Commulative!$A51</f>
        <v>0.17307692307692307</v>
      </c>
      <c r="L51">
        <f>Commulative!L51/Commulative!$A51</f>
        <v>0.17307692307692307</v>
      </c>
      <c r="M51">
        <f>Commulative!M51/Commulative!$A51</f>
        <v>9.6153846153846159E-2</v>
      </c>
      <c r="N51">
        <f>Commulative!N51/Commulative!$A51</f>
        <v>0.23076923076923078</v>
      </c>
      <c r="O51">
        <f>Commulative!O51/Commulative!$A51</f>
        <v>0.23076923076923078</v>
      </c>
      <c r="P51">
        <f>Commulative!P51/Commulative!$A51</f>
        <v>0.23076923076923078</v>
      </c>
      <c r="Q51">
        <f>Commulative!Q51/Commulative!$A51</f>
        <v>0.26923076923076922</v>
      </c>
    </row>
    <row r="52" spans="1:17">
      <c r="A52">
        <f>Sheet1!A54</f>
        <v>53</v>
      </c>
      <c r="B52" t="str">
        <f>Sheet1!B54</f>
        <v xml:space="preserve">ACL 2024 </v>
      </c>
      <c r="C52" t="str">
        <f>Sheet1!C54</f>
        <v xml:space="preserve"> Label-Efficient Model Selection for Text Generation</v>
      </c>
      <c r="D52" t="str">
        <f>Sheet1!E54</f>
        <v xml:space="preserve"> Shir Ashury-Tahan, Benjamin Sznajder, Leshem Choshen, Liat Ein</v>
      </c>
      <c r="E52">
        <f>Sheet1!F54</f>
        <v>2024</v>
      </c>
      <c r="F52">
        <f>Commulative!F52/Commulative!$A52</f>
        <v>0.18867924528301888</v>
      </c>
      <c r="G52">
        <f>Commulative!G52/Commulative!$A52</f>
        <v>0.15094339622641509</v>
      </c>
      <c r="H52">
        <f>Commulative!H52/Commulative!$A52</f>
        <v>0.13207547169811321</v>
      </c>
      <c r="I52">
        <f>Commulative!I52/Commulative!$A52</f>
        <v>9.4339622641509441E-2</v>
      </c>
      <c r="J52">
        <f>Commulative!J52/Commulative!$A52</f>
        <v>0.11320754716981132</v>
      </c>
      <c r="K52">
        <f>Commulative!K52/Commulative!$A52</f>
        <v>0.15094339622641509</v>
      </c>
      <c r="L52">
        <f>Commulative!L52/Commulative!$A52</f>
        <v>0.15094339622641509</v>
      </c>
      <c r="M52">
        <f>Commulative!M52/Commulative!$A52</f>
        <v>9.4339622641509441E-2</v>
      </c>
      <c r="N52">
        <f>Commulative!N52/Commulative!$A52</f>
        <v>0.20754716981132076</v>
      </c>
      <c r="O52">
        <f>Commulative!O52/Commulative!$A52</f>
        <v>0.22641509433962265</v>
      </c>
      <c r="P52">
        <f>Commulative!P52/Commulative!$A52</f>
        <v>0.20754716981132076</v>
      </c>
      <c r="Q52">
        <f>Commulative!Q52/Commulative!$A52</f>
        <v>0.26415094339622641</v>
      </c>
    </row>
    <row r="53" spans="1:17">
      <c r="A53">
        <f>Sheet1!A55</f>
        <v>54</v>
      </c>
      <c r="B53" t="str">
        <f>Sheet1!B55</f>
        <v xml:space="preserve">TMLR (under review) </v>
      </c>
      <c r="C53" t="str">
        <f>Sheet1!C55</f>
        <v xml:space="preserve"> A Survey on Model MoErging: Recycling and Routing Among Specialized Experts for Collaborative Learning</v>
      </c>
      <c r="D53" t="str">
        <f>Sheet1!E55</f>
        <v xml:space="preserve"> Prateek Yadav, Colin Raffel, Mohammed Muqeeth, Lucas Caccia, Haokun Liu, Tianlong Chen, Mohit Bansal, Leshem Choshen, Alessandro Sordoni</v>
      </c>
      <c r="E53">
        <f>Sheet1!F55</f>
        <v>2024</v>
      </c>
      <c r="F53">
        <f>Commulative!F53/Commulative!$A53</f>
        <v>0.18518518518518517</v>
      </c>
      <c r="G53">
        <f>Commulative!G53/Commulative!$A53</f>
        <v>0.14814814814814814</v>
      </c>
      <c r="H53">
        <f>Commulative!H53/Commulative!$A53</f>
        <v>0.1111111111111111</v>
      </c>
      <c r="I53">
        <f>Commulative!I53/Commulative!$A53</f>
        <v>9.2592592592592587E-2</v>
      </c>
      <c r="J53">
        <f>Commulative!J53/Commulative!$A53</f>
        <v>0.1111111111111111</v>
      </c>
      <c r="K53">
        <f>Commulative!K53/Commulative!$A53</f>
        <v>0.12962962962962962</v>
      </c>
      <c r="L53">
        <f>Commulative!L53/Commulative!$A53</f>
        <v>0.14814814814814814</v>
      </c>
      <c r="M53">
        <f>Commulative!M53/Commulative!$A53</f>
        <v>9.2592592592592587E-2</v>
      </c>
      <c r="N53">
        <f>Commulative!N53/Commulative!$A53</f>
        <v>0.18518518518518517</v>
      </c>
      <c r="O53">
        <f>Commulative!O53/Commulative!$A53</f>
        <v>0.20370370370370369</v>
      </c>
      <c r="P53">
        <f>Commulative!P53/Commulative!$A53</f>
        <v>0.18518518518518517</v>
      </c>
      <c r="Q53">
        <f>Commulative!Q53/Commulative!$A53</f>
        <v>0.24074074074074073</v>
      </c>
    </row>
    <row r="54" spans="1:17">
      <c r="A54">
        <f>Sheet1!A56</f>
        <v>55</v>
      </c>
      <c r="B54" t="str">
        <f>Sheet1!B56</f>
        <v xml:space="preserve">ARR (under review) </v>
      </c>
      <c r="C54" t="str">
        <f>Sheet1!C56</f>
        <v xml:space="preserve"> ​​Elements of World Knowledge (EWOK): A cognition</v>
      </c>
      <c r="D54" t="str">
        <f>Sheet1!E56</f>
        <v>inspired framework for evaluating basic world knowledge in language models” 5th from end, numerous authors.</v>
      </c>
      <c r="E54">
        <f>Sheet1!F56</f>
        <v>2024</v>
      </c>
      <c r="F54">
        <f>Commulative!F54/Commulative!$A54</f>
        <v>0.18181818181818182</v>
      </c>
      <c r="G54">
        <f>Commulative!G54/Commulative!$A54</f>
        <v>0.14545454545454545</v>
      </c>
      <c r="H54">
        <f>Commulative!H54/Commulative!$A54</f>
        <v>0.10909090909090909</v>
      </c>
      <c r="I54">
        <f>Commulative!I54/Commulative!$A54</f>
        <v>9.0909090909090912E-2</v>
      </c>
      <c r="J54">
        <f>Commulative!J54/Commulative!$A54</f>
        <v>0.10909090909090909</v>
      </c>
      <c r="K54">
        <f>Commulative!K54/Commulative!$A54</f>
        <v>0.12727272727272726</v>
      </c>
      <c r="L54">
        <f>Commulative!L54/Commulative!$A54</f>
        <v>0.14545454545454545</v>
      </c>
      <c r="M54">
        <f>Commulative!M54/Commulative!$A54</f>
        <v>9.0909090909090912E-2</v>
      </c>
      <c r="N54">
        <f>Commulative!N54/Commulative!$A54</f>
        <v>0.16363636363636364</v>
      </c>
      <c r="O54">
        <f>Commulative!O54/Commulative!$A54</f>
        <v>0.18181818181818182</v>
      </c>
      <c r="P54">
        <f>Commulative!P54/Commulative!$A54</f>
        <v>0.16363636363636364</v>
      </c>
      <c r="Q54">
        <f>Commulative!Q54/Commulative!$A54</f>
        <v>0.21818181818181817</v>
      </c>
    </row>
    <row r="55" spans="1:17">
      <c r="A55">
        <f>Sheet1!A57</f>
        <v>56</v>
      </c>
      <c r="B55" t="str">
        <f>Sheet1!B57</f>
        <v xml:space="preserve">ARR (under review) </v>
      </c>
      <c r="C55" t="str">
        <f>Sheet1!C57</f>
        <v xml:space="preserve"> Efficient multi-prompt evaluation of LLMs</v>
      </c>
      <c r="D55" t="str">
        <f>Sheet1!E57</f>
        <v>Felipe Maia Polo, Ronald Xu, Lucas Weber, Mírian Silva, Onkar Bhardwaj, Leshem Choshen, Allysson Flavio Melo de Oliveira, Yuekai Sun, Mikhail Yurochkin</v>
      </c>
      <c r="E55">
        <f>Sheet1!F57</f>
        <v>2024</v>
      </c>
      <c r="F55">
        <f>Commulative!F55/Commulative!$A55</f>
        <v>0.16071428571428573</v>
      </c>
      <c r="G55">
        <f>Commulative!G55/Commulative!$A55</f>
        <v>0.14285714285714285</v>
      </c>
      <c r="H55">
        <f>Commulative!H55/Commulative!$A55</f>
        <v>0.10714285714285714</v>
      </c>
      <c r="I55">
        <f>Commulative!I55/Commulative!$A55</f>
        <v>7.1428571428571425E-2</v>
      </c>
      <c r="J55">
        <f>Commulative!J55/Commulative!$A55</f>
        <v>0.10714285714285714</v>
      </c>
      <c r="K55">
        <f>Commulative!K55/Commulative!$A55</f>
        <v>0.10714285714285714</v>
      </c>
      <c r="L55">
        <f>Commulative!L55/Commulative!$A55</f>
        <v>0.14285714285714285</v>
      </c>
      <c r="M55">
        <f>Commulative!M55/Commulative!$A55</f>
        <v>7.1428571428571425E-2</v>
      </c>
      <c r="N55">
        <f>Commulative!N55/Commulative!$A55</f>
        <v>0.16071428571428573</v>
      </c>
      <c r="O55">
        <f>Commulative!O55/Commulative!$A55</f>
        <v>0.17857142857142858</v>
      </c>
      <c r="P55">
        <f>Commulative!P55/Commulative!$A55</f>
        <v>0.14285714285714285</v>
      </c>
      <c r="Q55">
        <f>Commulative!Q55/Commulative!$A55</f>
        <v>0.19642857142857142</v>
      </c>
    </row>
    <row r="56" spans="1:17">
      <c r="A56">
        <f>Sheet1!A58</f>
        <v>57</v>
      </c>
      <c r="B56" t="str">
        <f>Sheet1!B58</f>
        <v xml:space="preserve">ARR (under review) </v>
      </c>
      <c r="C56" t="str">
        <f>Sheet1!C58</f>
        <v xml:space="preserve"> NumeroLogic: Number Encoding for Enhanced LLMs' Numerical Reasoning</v>
      </c>
      <c r="D56" t="str">
        <f>Sheet1!E58</f>
        <v xml:space="preserve"> Eli Schwartz, Leshem Choshen, Joseph Shtok, Sivan Doveh, Leonid Karlinsky, Assaf Arbelle</v>
      </c>
      <c r="E56">
        <f>Sheet1!F58</f>
        <v>2024</v>
      </c>
      <c r="F56">
        <f>Commulative!F56/Commulative!$A56</f>
        <v>0.14035087719298245</v>
      </c>
      <c r="G56">
        <f>Commulative!G56/Commulative!$A56</f>
        <v>0.14035087719298245</v>
      </c>
      <c r="H56">
        <f>Commulative!H56/Commulative!$A56</f>
        <v>8.771929824561403E-2</v>
      </c>
      <c r="I56">
        <f>Commulative!I56/Commulative!$A56</f>
        <v>7.0175438596491224E-2</v>
      </c>
      <c r="J56">
        <f>Commulative!J56/Commulative!$A56</f>
        <v>0.10526315789473684</v>
      </c>
      <c r="K56">
        <f>Commulative!K56/Commulative!$A56</f>
        <v>8.771929824561403E-2</v>
      </c>
      <c r="L56">
        <f>Commulative!L56/Commulative!$A56</f>
        <v>0.14035087719298245</v>
      </c>
      <c r="M56">
        <f>Commulative!M56/Commulative!$A56</f>
        <v>7.0175438596491224E-2</v>
      </c>
      <c r="N56">
        <f>Commulative!N56/Commulative!$A56</f>
        <v>0.15789473684210525</v>
      </c>
      <c r="O56">
        <f>Commulative!O56/Commulative!$A56</f>
        <v>0.17543859649122806</v>
      </c>
      <c r="P56">
        <f>Commulative!P56/Commulative!$A56</f>
        <v>0.12280701754385964</v>
      </c>
      <c r="Q56">
        <f>Commulative!Q56/Commulative!$A56</f>
        <v>0.17543859649122806</v>
      </c>
    </row>
    <row r="57" spans="1:17">
      <c r="A57">
        <f>Sheet1!A59</f>
        <v>58</v>
      </c>
      <c r="B57" t="str">
        <f>Sheet1!B59</f>
        <v xml:space="preserve">ARR (under review) </v>
      </c>
      <c r="C57" t="str">
        <f>Sheet1!C59</f>
        <v xml:space="preserve"> Lossless and Near Lossless Compression for Foundation Models</v>
      </c>
      <c r="D57" t="str">
        <f>Sheet1!E59</f>
        <v>Moshik Hershcovitch, Leshem Choshen, Andrew Wood, Ilias Enmouri, Peter Chin, Swaminathan Sundararaman, Danny Harnik</v>
      </c>
      <c r="E57">
        <f>Sheet1!F59</f>
        <v>2024</v>
      </c>
      <c r="F57">
        <f>Commulative!F57/Commulative!$A57</f>
        <v>0.13793103448275862</v>
      </c>
      <c r="G57">
        <f>Commulative!G57/Commulative!$A57</f>
        <v>0.13793103448275862</v>
      </c>
      <c r="H57">
        <f>Commulative!H57/Commulative!$A57</f>
        <v>6.8965517241379309E-2</v>
      </c>
      <c r="I57">
        <f>Commulative!I57/Commulative!$A57</f>
        <v>6.8965517241379309E-2</v>
      </c>
      <c r="J57">
        <f>Commulative!J57/Commulative!$A57</f>
        <v>8.6206896551724144E-2</v>
      </c>
      <c r="K57">
        <f>Commulative!K57/Commulative!$A57</f>
        <v>8.6206896551724144E-2</v>
      </c>
      <c r="L57">
        <f>Commulative!L57/Commulative!$A57</f>
        <v>0.13793103448275862</v>
      </c>
      <c r="M57">
        <f>Commulative!M57/Commulative!$A57</f>
        <v>6.8965517241379309E-2</v>
      </c>
      <c r="N57">
        <f>Commulative!N57/Commulative!$A57</f>
        <v>0.15517241379310345</v>
      </c>
      <c r="O57">
        <f>Commulative!O57/Commulative!$A57</f>
        <v>0.17241379310344829</v>
      </c>
      <c r="P57">
        <f>Commulative!P57/Commulative!$A57</f>
        <v>0.1206896551724138</v>
      </c>
      <c r="Q57">
        <f>Commulative!Q57/Commulative!$A57</f>
        <v>0.17241379310344829</v>
      </c>
    </row>
    <row r="58" spans="1:17">
      <c r="A58">
        <f>Sheet1!A60</f>
        <v>59</v>
      </c>
      <c r="B58" t="str">
        <f>Sheet1!B60</f>
        <v xml:space="preserve">ARR (under review) </v>
      </c>
      <c r="C58" t="str">
        <f>Sheet1!C60</f>
        <v xml:space="preserve"> Beneath the Surface of Consistency: Exploring Cross-lingual Knowledge Representation Sharing in LLMs”</v>
      </c>
      <c r="D58" t="str">
        <f>Sheet1!E60</f>
        <v xml:space="preserve"> M Ifergan, L Choshen, R Aharoni, I Szpektor, O Abend</v>
      </c>
      <c r="E58">
        <f>Sheet1!F60</f>
        <v>2024</v>
      </c>
      <c r="F58">
        <f>Commulative!F58/Commulative!$A58</f>
        <v>0.11864406779661017</v>
      </c>
      <c r="G58">
        <f>Commulative!G58/Commulative!$A58</f>
        <v>0.11864406779661017</v>
      </c>
      <c r="H58">
        <f>Commulative!H58/Commulative!$A58</f>
        <v>5.0847457627118647E-2</v>
      </c>
      <c r="I58">
        <f>Commulative!I58/Commulative!$A58</f>
        <v>6.7796610169491525E-2</v>
      </c>
      <c r="J58">
        <f>Commulative!J58/Commulative!$A58</f>
        <v>8.4745762711864403E-2</v>
      </c>
      <c r="K58">
        <f>Commulative!K58/Commulative!$A58</f>
        <v>8.4745762711864403E-2</v>
      </c>
      <c r="L58">
        <f>Commulative!L58/Commulative!$A58</f>
        <v>0.13559322033898305</v>
      </c>
      <c r="M58">
        <f>Commulative!M58/Commulative!$A58</f>
        <v>6.7796610169491525E-2</v>
      </c>
      <c r="N58">
        <f>Commulative!N58/Commulative!$A58</f>
        <v>0.15254237288135594</v>
      </c>
      <c r="O58">
        <f>Commulative!O58/Commulative!$A58</f>
        <v>0.16949152542372881</v>
      </c>
      <c r="P58">
        <f>Commulative!P58/Commulative!$A58</f>
        <v>0.11864406779661017</v>
      </c>
      <c r="Q58">
        <f>Commulative!Q58/Commulative!$A58</f>
        <v>0.15254237288135594</v>
      </c>
    </row>
    <row r="59" spans="1:17">
      <c r="A59">
        <f>Sheet1!A61</f>
        <v>60</v>
      </c>
      <c r="B59" t="str">
        <f>Sheet1!B61</f>
        <v xml:space="preserve">ARR (under review) </v>
      </c>
      <c r="C59" t="str">
        <f>Sheet1!C61</f>
        <v xml:space="preserve"> Can You Trust Your Metric? Automatic Concatenation</v>
      </c>
      <c r="D59" t="str">
        <f>Sheet1!E61</f>
        <v>Based Tests for Metric Validity” ON Fandina, L Choshen, E Farchi, G Kour, Y Perlitz, O Raz</v>
      </c>
      <c r="E59">
        <f>Sheet1!F61</f>
        <v>2024</v>
      </c>
      <c r="F59">
        <f>Commulative!F59/Commulative!$A59</f>
        <v>0.11666666666666667</v>
      </c>
      <c r="G59">
        <f>Commulative!G59/Commulative!$A59</f>
        <v>0.1</v>
      </c>
      <c r="H59">
        <f>Commulative!H59/Commulative!$A59</f>
        <v>0.05</v>
      </c>
      <c r="I59">
        <f>Commulative!I59/Commulative!$A59</f>
        <v>0.05</v>
      </c>
      <c r="J59">
        <f>Commulative!J59/Commulative!$A59</f>
        <v>8.3333333333333329E-2</v>
      </c>
      <c r="K59">
        <f>Commulative!K59/Commulative!$A59</f>
        <v>8.3333333333333329E-2</v>
      </c>
      <c r="L59">
        <f>Commulative!L59/Commulative!$A59</f>
        <v>0.13333333333333333</v>
      </c>
      <c r="M59">
        <f>Commulative!M59/Commulative!$A59</f>
        <v>6.6666666666666666E-2</v>
      </c>
      <c r="N59">
        <f>Commulative!N59/Commulative!$A59</f>
        <v>0.15</v>
      </c>
      <c r="O59">
        <f>Commulative!O59/Commulative!$A59</f>
        <v>0.16666666666666666</v>
      </c>
      <c r="P59">
        <f>Commulative!P59/Commulative!$A59</f>
        <v>0.11666666666666667</v>
      </c>
      <c r="Q59">
        <f>Commulative!Q59/Commulative!$A59</f>
        <v>0.15</v>
      </c>
    </row>
    <row r="60" spans="1:17">
      <c r="A60">
        <f>Sheet1!A62</f>
        <v>61</v>
      </c>
      <c r="B60" t="str">
        <f>Sheet1!B62</f>
        <v xml:space="preserve">ARR (under review) </v>
      </c>
      <c r="C60" t="str">
        <f>Sheet1!C62</f>
        <v xml:space="preserve"> The ShareLM Collection and Plugin: Contributing Human-Model Chats for the Benefit of the Community</v>
      </c>
      <c r="D60" t="str">
        <f>Sheet1!E62</f>
        <v xml:space="preserve"> Shachar Don-Yehiya, Leshem Choshen, Omri Abend</v>
      </c>
      <c r="E60">
        <f>Sheet1!F62</f>
        <v>2024</v>
      </c>
      <c r="F60">
        <f>Commulative!F60/Commulative!$A60</f>
        <v>0.11475409836065574</v>
      </c>
      <c r="G60">
        <f>Commulative!G60/Commulative!$A60</f>
        <v>9.8360655737704916E-2</v>
      </c>
      <c r="H60">
        <f>Commulative!H60/Commulative!$A60</f>
        <v>4.9180327868852458E-2</v>
      </c>
      <c r="I60">
        <f>Commulative!I60/Commulative!$A60</f>
        <v>4.9180327868852458E-2</v>
      </c>
      <c r="J60">
        <f>Commulative!J60/Commulative!$A60</f>
        <v>8.1967213114754092E-2</v>
      </c>
      <c r="K60">
        <f>Commulative!K60/Commulative!$A60</f>
        <v>6.5573770491803282E-2</v>
      </c>
      <c r="L60">
        <f>Commulative!L60/Commulative!$A60</f>
        <v>0.13114754098360656</v>
      </c>
      <c r="M60">
        <f>Commulative!M60/Commulative!$A60</f>
        <v>6.5573770491803282E-2</v>
      </c>
      <c r="N60">
        <f>Commulative!N60/Commulative!$A60</f>
        <v>0.14754098360655737</v>
      </c>
      <c r="O60">
        <f>Commulative!O60/Commulative!$A60</f>
        <v>0.14754098360655737</v>
      </c>
      <c r="P60">
        <f>Commulative!P60/Commulative!$A60</f>
        <v>0.11475409836065574</v>
      </c>
      <c r="Q60">
        <f>Commulative!Q60/Commulative!$A60</f>
        <v>0.14754098360655737</v>
      </c>
    </row>
    <row r="61" spans="1:17">
      <c r="A61">
        <f>Sheet1!A63</f>
        <v>62</v>
      </c>
      <c r="B61" t="str">
        <f>Sheet1!B63</f>
        <v xml:space="preserve">ARR (under review) </v>
      </c>
      <c r="C61" t="str">
        <f>Sheet1!C63</f>
        <v xml:space="preserve"> Learning from Naturally Occurring Feedback</v>
      </c>
      <c r="D61" t="str">
        <f>Sheet1!E63</f>
        <v xml:space="preserve"> Shachar DonYehiya, Leshem Choshen, Omri Abend</v>
      </c>
      <c r="E61">
        <f>Sheet1!F63</f>
        <v>2024</v>
      </c>
      <c r="F61">
        <f>Commulative!F61/Commulative!$A61</f>
        <v>9.6774193548387094E-2</v>
      </c>
      <c r="G61">
        <f>Commulative!G61/Commulative!$A61</f>
        <v>9.6774193548387094E-2</v>
      </c>
      <c r="H61">
        <f>Commulative!H61/Commulative!$A61</f>
        <v>4.8387096774193547E-2</v>
      </c>
      <c r="I61">
        <f>Commulative!I61/Commulative!$A61</f>
        <v>3.2258064516129031E-2</v>
      </c>
      <c r="J61">
        <f>Commulative!J61/Commulative!$A61</f>
        <v>8.0645161290322578E-2</v>
      </c>
      <c r="K61">
        <f>Commulative!K61/Commulative!$A61</f>
        <v>6.4516129032258063E-2</v>
      </c>
      <c r="L61">
        <f>Commulative!L61/Commulative!$A61</f>
        <v>0.11290322580645161</v>
      </c>
      <c r="M61">
        <f>Commulative!M61/Commulative!$A61</f>
        <v>4.8387096774193547E-2</v>
      </c>
      <c r="N61">
        <f>Commulative!N61/Commulative!$A61</f>
        <v>0.12903225806451613</v>
      </c>
      <c r="O61">
        <f>Commulative!O61/Commulative!$A61</f>
        <v>0.12903225806451613</v>
      </c>
      <c r="P61">
        <f>Commulative!P61/Commulative!$A61</f>
        <v>9.6774193548387094E-2</v>
      </c>
      <c r="Q61">
        <f>Commulative!Q61/Commulative!$A61</f>
        <v>0.12903225806451613</v>
      </c>
    </row>
    <row r="62" spans="1:17">
      <c r="A62">
        <f>Sheet1!A64</f>
        <v>63</v>
      </c>
      <c r="B62" t="str">
        <f>Sheet1!B64</f>
        <v xml:space="preserve">ARR^ (under review) </v>
      </c>
      <c r="C62" t="str">
        <f>Sheet1!C64</f>
        <v xml:space="preserve"> Benchmark Agreement Testing Done Right: A Guide for LLM Benchmark Evaluation</v>
      </c>
      <c r="D62" t="str">
        <f>Sheet1!E64</f>
        <v xml:space="preserve"> Yotam Perlitz, Ariel Gera, Ofir Arviv, Asaf Yehudai, Elron Bandel, Eyal Shnarch, Michal ShmueliScheuer, Leshem Choshen</v>
      </c>
      <c r="E62">
        <f>Sheet1!F64</f>
        <v>2024</v>
      </c>
      <c r="F62">
        <f>Commulative!F62/Commulative!$A62</f>
        <v>7.9365079365079361E-2</v>
      </c>
      <c r="G62">
        <f>Commulative!G62/Commulative!$A62</f>
        <v>9.5238095238095233E-2</v>
      </c>
      <c r="H62">
        <f>Commulative!H62/Commulative!$A62</f>
        <v>3.1746031746031744E-2</v>
      </c>
      <c r="I62">
        <f>Commulative!I62/Commulative!$A62</f>
        <v>1.5873015873015872E-2</v>
      </c>
      <c r="J62">
        <f>Commulative!J62/Commulative!$A62</f>
        <v>7.9365079365079361E-2</v>
      </c>
      <c r="K62">
        <f>Commulative!K62/Commulative!$A62</f>
        <v>6.3492063492063489E-2</v>
      </c>
      <c r="L62">
        <f>Commulative!L62/Commulative!$A62</f>
        <v>0.1111111111111111</v>
      </c>
      <c r="M62">
        <f>Commulative!M62/Commulative!$A62</f>
        <v>3.1746031746031744E-2</v>
      </c>
      <c r="N62">
        <f>Commulative!N62/Commulative!$A62</f>
        <v>0.1111111111111111</v>
      </c>
      <c r="O62">
        <f>Commulative!O62/Commulative!$A62</f>
        <v>0.12698412698412698</v>
      </c>
      <c r="P62">
        <f>Commulative!P62/Commulative!$A62</f>
        <v>9.5238095238095233E-2</v>
      </c>
      <c r="Q62">
        <f>Commulative!Q62/Commulative!$A62</f>
        <v>0.1111111111111111</v>
      </c>
    </row>
    <row r="63" spans="1:17">
      <c r="A63">
        <f>Sheet1!A65</f>
        <v>64</v>
      </c>
      <c r="B63" t="str">
        <f>Sheet1!B65</f>
        <v xml:space="preserve">ICLR (under review) </v>
      </c>
      <c r="C63" t="str">
        <f>Sheet1!C65</f>
        <v xml:space="preserve"> Compress then Serve: Serving Thousands of LoRA Adapters with Little Overhead</v>
      </c>
      <c r="D63" t="str">
        <f>Sheet1!E65</f>
        <v xml:space="preserve"> Rickard BrüelGabrielsson, Jiacheng Zhu, Onkar Bhardwaj, Leshem Choshen, Kristjan Greenewald, Mikhail Yurochkin, Justin Solomon</v>
      </c>
      <c r="E63">
        <f>Sheet1!F65</f>
        <v>2024</v>
      </c>
      <c r="F63">
        <f>Commulative!F63/Commulative!$A63</f>
        <v>6.25E-2</v>
      </c>
      <c r="G63">
        <f>Commulative!G63/Commulative!$A63</f>
        <v>9.375E-2</v>
      </c>
      <c r="H63">
        <f>Commulative!H63/Commulative!$A63</f>
        <v>3.125E-2</v>
      </c>
      <c r="I63">
        <f>Commulative!I63/Commulative!$A63</f>
        <v>1.5625E-2</v>
      </c>
      <c r="J63">
        <f>Commulative!J63/Commulative!$A63</f>
        <v>7.8125E-2</v>
      </c>
      <c r="K63">
        <f>Commulative!K63/Commulative!$A63</f>
        <v>4.6875E-2</v>
      </c>
      <c r="L63">
        <f>Commulative!L63/Commulative!$A63</f>
        <v>0.109375</v>
      </c>
      <c r="M63">
        <f>Commulative!M63/Commulative!$A63</f>
        <v>3.125E-2</v>
      </c>
      <c r="N63">
        <f>Commulative!N63/Commulative!$A63</f>
        <v>9.375E-2</v>
      </c>
      <c r="O63">
        <f>Commulative!O63/Commulative!$A63</f>
        <v>0.109375</v>
      </c>
      <c r="P63">
        <f>Commulative!P63/Commulative!$A63</f>
        <v>9.375E-2</v>
      </c>
      <c r="Q63">
        <f>Commulative!Q63/Commulative!$A63</f>
        <v>0.109375</v>
      </c>
    </row>
    <row r="64" spans="1:17">
      <c r="A64">
        <f>Sheet1!A66</f>
        <v>65</v>
      </c>
      <c r="B64" t="str">
        <f>Sheet1!B66</f>
        <v xml:space="preserve">JML (under review) </v>
      </c>
      <c r="C64" t="str">
        <f>Sheet1!C66</f>
        <v xml:space="preserve"> Bigger is not always better: The importance of human-scale language modeling for psycholinguistics</v>
      </c>
      <c r="D64" t="str">
        <f>Sheet1!E66</f>
        <v>Ethan Gotlieb Wilcox, Michael Hu, Aaron Mueller, Tal Linzen, Alex Warstadt, Leshem Choshen, Chengxu Zhuang, Ryan Cotterell, Adina Williams</v>
      </c>
      <c r="E64">
        <f>Sheet1!F66</f>
        <v>2024</v>
      </c>
      <c r="F64">
        <f>Commulative!F64/Commulative!$A64</f>
        <v>4.6153846153846156E-2</v>
      </c>
      <c r="G64">
        <f>Commulative!G64/Commulative!$A64</f>
        <v>7.6923076923076927E-2</v>
      </c>
      <c r="H64">
        <f>Commulative!H64/Commulative!$A64</f>
        <v>1.5384615384615385E-2</v>
      </c>
      <c r="I64">
        <f>Commulative!I64/Commulative!$A64</f>
        <v>0</v>
      </c>
      <c r="J64">
        <f>Commulative!J64/Commulative!$A64</f>
        <v>7.6923076923076927E-2</v>
      </c>
      <c r="K64">
        <f>Commulative!K64/Commulative!$A64</f>
        <v>4.6153846153846156E-2</v>
      </c>
      <c r="L64">
        <f>Commulative!L64/Commulative!$A64</f>
        <v>0.1076923076923077</v>
      </c>
      <c r="M64">
        <f>Commulative!M64/Commulative!$A64</f>
        <v>3.0769230769230771E-2</v>
      </c>
      <c r="N64">
        <f>Commulative!N64/Commulative!$A64</f>
        <v>9.2307692307692313E-2</v>
      </c>
      <c r="O64">
        <f>Commulative!O64/Commulative!$A64</f>
        <v>0.1076923076923077</v>
      </c>
      <c r="P64">
        <f>Commulative!P64/Commulative!$A64</f>
        <v>9.2307692307692313E-2</v>
      </c>
      <c r="Q64">
        <f>Commulative!Q64/Commulative!$A64</f>
        <v>9.2307692307692313E-2</v>
      </c>
    </row>
    <row r="65" spans="1:17">
      <c r="A65">
        <f>Sheet1!A67</f>
        <v>66</v>
      </c>
      <c r="B65" t="str">
        <f>Sheet1!B67</f>
        <v xml:space="preserve">EMNLP (under review) </v>
      </c>
      <c r="C65" t="str">
        <f>Sheet1!C67</f>
        <v xml:space="preserve"> Fuse to Forget: Bias Reduction and Selective Memorization through Model Fusion</v>
      </c>
      <c r="D65" t="str">
        <f>Sheet1!E67</f>
        <v xml:space="preserve"> Kerem Zaman, Leshem Choshen, Shashank Srivastava</v>
      </c>
      <c r="E65">
        <f>Sheet1!F67</f>
        <v>2024</v>
      </c>
      <c r="F65">
        <f>Commulative!F65/Commulative!$A65</f>
        <v>4.5454545454545456E-2</v>
      </c>
      <c r="G65">
        <f>Commulative!G65/Commulative!$A65</f>
        <v>6.0606060606060608E-2</v>
      </c>
      <c r="H65">
        <f>Commulative!H65/Commulative!$A65</f>
        <v>1.5151515151515152E-2</v>
      </c>
      <c r="I65">
        <f>Commulative!I65/Commulative!$A65</f>
        <v>0</v>
      </c>
      <c r="J65">
        <f>Commulative!J65/Commulative!$A65</f>
        <v>6.0606060606060608E-2</v>
      </c>
      <c r="K65">
        <f>Commulative!K65/Commulative!$A65</f>
        <v>4.5454545454545456E-2</v>
      </c>
      <c r="L65">
        <f>Commulative!L65/Commulative!$A65</f>
        <v>9.0909090909090912E-2</v>
      </c>
      <c r="M65">
        <f>Commulative!M65/Commulative!$A65</f>
        <v>1.5151515151515152E-2</v>
      </c>
      <c r="N65">
        <f>Commulative!N65/Commulative!$A65</f>
        <v>7.575757575757576E-2</v>
      </c>
      <c r="O65">
        <f>Commulative!O65/Commulative!$A65</f>
        <v>9.0909090909090912E-2</v>
      </c>
      <c r="P65">
        <f>Commulative!P65/Commulative!$A65</f>
        <v>7.575757575757576E-2</v>
      </c>
      <c r="Q65">
        <f>Commulative!Q65/Commulative!$A65</f>
        <v>7.575757575757576E-2</v>
      </c>
    </row>
    <row r="66" spans="1:17">
      <c r="A66">
        <f>Sheet1!A68</f>
        <v>67</v>
      </c>
      <c r="B66" t="str">
        <f>Sheet1!B68</f>
        <v xml:space="preserve">Nature Machine Intelligence^ (under review)  </v>
      </c>
      <c r="C66" t="str">
        <f>Sheet1!C68</f>
        <v>The Future of Open Human Feedback</v>
      </c>
      <c r="D66" t="str">
        <f>Sheet1!E68</f>
        <v>Many authors, led by me.</v>
      </c>
      <c r="E66">
        <f>Sheet1!F68</f>
        <v>2024</v>
      </c>
      <c r="F66">
        <f>Commulative!F66/Commulative!$A66</f>
        <v>4.4776119402985072E-2</v>
      </c>
      <c r="G66">
        <f>Commulative!G66/Commulative!$A66</f>
        <v>4.4776119402985072E-2</v>
      </c>
      <c r="H66">
        <f>Commulative!H66/Commulative!$A66</f>
        <v>1.4925373134328358E-2</v>
      </c>
      <c r="I66">
        <f>Commulative!I66/Commulative!$A66</f>
        <v>0</v>
      </c>
      <c r="J66">
        <f>Commulative!J66/Commulative!$A66</f>
        <v>5.9701492537313432E-2</v>
      </c>
      <c r="K66">
        <f>Commulative!K66/Commulative!$A66</f>
        <v>4.4776119402985072E-2</v>
      </c>
      <c r="L66">
        <f>Commulative!L66/Commulative!$A66</f>
        <v>7.4626865671641784E-2</v>
      </c>
      <c r="M66">
        <f>Commulative!M66/Commulative!$A66</f>
        <v>1.4925373134328358E-2</v>
      </c>
      <c r="N66">
        <f>Commulative!N66/Commulative!$A66</f>
        <v>5.9701492537313432E-2</v>
      </c>
      <c r="O66">
        <f>Commulative!O66/Commulative!$A66</f>
        <v>7.4626865671641784E-2</v>
      </c>
      <c r="P66">
        <f>Commulative!P66/Commulative!$A66</f>
        <v>5.9701492537313432E-2</v>
      </c>
      <c r="Q66">
        <f>Commulative!Q66/Commulative!$A66</f>
        <v>5.9701492537313432E-2</v>
      </c>
    </row>
    <row r="67" spans="1:17">
      <c r="A67">
        <f>Sheet1!A69</f>
        <v>68</v>
      </c>
      <c r="B67" t="str">
        <f>Sheet1!B69</f>
        <v>CoLM</v>
      </c>
      <c r="C67" t="str">
        <f>Sheet1!C69</f>
        <v>Unforgettable Generalization in Language Models</v>
      </c>
      <c r="D67" t="str">
        <f>Sheet1!E69</f>
        <v>Eric Zhang, Leshem Chosen, Jacob Andreas</v>
      </c>
      <c r="E67">
        <f>Sheet1!F69</f>
        <v>2024</v>
      </c>
      <c r="F67">
        <f>Commulative!F67/Commulative!$A67</f>
        <v>4.4117647058823532E-2</v>
      </c>
      <c r="G67">
        <f>Commulative!G67/Commulative!$A67</f>
        <v>4.4117647058823532E-2</v>
      </c>
      <c r="H67">
        <f>Commulative!H67/Commulative!$A67</f>
        <v>1.4705882352941176E-2</v>
      </c>
      <c r="I67">
        <f>Commulative!I67/Commulative!$A67</f>
        <v>0</v>
      </c>
      <c r="J67">
        <f>Commulative!J67/Commulative!$A67</f>
        <v>5.8823529411764705E-2</v>
      </c>
      <c r="K67">
        <f>Commulative!K67/Commulative!$A67</f>
        <v>4.4117647058823532E-2</v>
      </c>
      <c r="L67">
        <f>Commulative!L67/Commulative!$A67</f>
        <v>5.8823529411764705E-2</v>
      </c>
      <c r="M67">
        <f>Commulative!M67/Commulative!$A67</f>
        <v>1.4705882352941176E-2</v>
      </c>
      <c r="N67">
        <f>Commulative!N67/Commulative!$A67</f>
        <v>4.4117647058823532E-2</v>
      </c>
      <c r="O67">
        <f>Commulative!O67/Commulative!$A67</f>
        <v>5.8823529411764705E-2</v>
      </c>
      <c r="P67">
        <f>Commulative!P67/Commulative!$A67</f>
        <v>4.4117647058823532E-2</v>
      </c>
      <c r="Q67">
        <f>Commulative!Q67/Commulative!$A67</f>
        <v>5.8823529411764705E-2</v>
      </c>
    </row>
    <row r="68" spans="1:17">
      <c r="A68">
        <f>Sheet1!A70</f>
        <v>69</v>
      </c>
      <c r="B68" t="str">
        <f>Sheet1!B70</f>
        <v>ICLR (under review)</v>
      </c>
      <c r="C68" t="str">
        <f>Sheet1!C70</f>
        <v>Compeft: Compression for communicating parameter efficient updates via sparsification and quantization</v>
      </c>
      <c r="D68" t="str">
        <f>Sheet1!E70</f>
        <v>Prateek Yadav, Leshem Choshen, Colin Raffel, Mohit Bansal</v>
      </c>
      <c r="E68">
        <f>Sheet1!F70</f>
        <v>2024</v>
      </c>
      <c r="F68">
        <f>Commulative!F68/Commulative!$A68</f>
        <v>4.3478260869565216E-2</v>
      </c>
      <c r="G68">
        <f>Commulative!G68/Commulative!$A68</f>
        <v>2.8985507246376812E-2</v>
      </c>
      <c r="H68">
        <f>Commulative!H68/Commulative!$A68</f>
        <v>1.4492753623188406E-2</v>
      </c>
      <c r="I68">
        <f>Commulative!I68/Commulative!$A68</f>
        <v>0</v>
      </c>
      <c r="J68">
        <f>Commulative!J68/Commulative!$A68</f>
        <v>4.3478260869565216E-2</v>
      </c>
      <c r="K68">
        <f>Commulative!K68/Commulative!$A68</f>
        <v>4.3478260869565216E-2</v>
      </c>
      <c r="L68">
        <f>Commulative!L68/Commulative!$A68</f>
        <v>5.7971014492753624E-2</v>
      </c>
      <c r="M68">
        <f>Commulative!M68/Commulative!$A68</f>
        <v>1.4492753623188406E-2</v>
      </c>
      <c r="N68">
        <f>Commulative!N68/Commulative!$A68</f>
        <v>4.3478260869565216E-2</v>
      </c>
      <c r="O68">
        <f>Commulative!O68/Commulative!$A68</f>
        <v>5.7971014492753624E-2</v>
      </c>
      <c r="P68">
        <f>Commulative!P68/Commulative!$A68</f>
        <v>4.3478260869565216E-2</v>
      </c>
      <c r="Q68">
        <f>Commulative!Q68/Commulative!$A68</f>
        <v>5.7971014492753624E-2</v>
      </c>
    </row>
    <row r="69" spans="1:17">
      <c r="A69">
        <f>Sheet1!A72</f>
        <v>71</v>
      </c>
      <c r="B69" t="str">
        <f>Sheet1!B72</f>
        <v>ICML</v>
      </c>
      <c r="C69" t="str">
        <f>Sheet1!C72</f>
        <v>Hild</v>
      </c>
      <c r="D69" t="str">
        <f>Sheet1!E72</f>
        <v>Leshem, Choshen and Atish, Agarwala and Naomi, Saphra and Boaz, Barak and Courtney, Paquette and Gowthami, Sompalli and Rosie, Zhao and Depen, Morwani and Mengzhou, Xia and Shikhar, Murty and Swabha, Swayamdipta and Tom, Goldstein</v>
      </c>
      <c r="E69">
        <f>Sheet1!F72</f>
        <v>2024</v>
      </c>
      <c r="F69">
        <f>Commulative!F69/Commulative!$A69</f>
        <v>4.2253521126760563E-2</v>
      </c>
      <c r="G69">
        <f>Commulative!G69/Commulative!$A69</f>
        <v>1.4084507042253521E-2</v>
      </c>
      <c r="H69">
        <f>Commulative!H69/Commulative!$A69</f>
        <v>0</v>
      </c>
      <c r="I69">
        <f>Commulative!I69/Commulative!$A69</f>
        <v>0</v>
      </c>
      <c r="J69">
        <f>Commulative!J69/Commulative!$A69</f>
        <v>4.2253521126760563E-2</v>
      </c>
      <c r="K69">
        <f>Commulative!K69/Commulative!$A69</f>
        <v>4.2253521126760563E-2</v>
      </c>
      <c r="L69">
        <f>Commulative!L69/Commulative!$A69</f>
        <v>5.6338028169014086E-2</v>
      </c>
      <c r="M69">
        <f>Commulative!M69/Commulative!$A69</f>
        <v>1.4084507042253521E-2</v>
      </c>
      <c r="N69">
        <f>Commulative!N69/Commulative!$A69</f>
        <v>4.2253521126760563E-2</v>
      </c>
      <c r="O69">
        <f>Commulative!O69/Commulative!$A69</f>
        <v>5.6338028169014086E-2</v>
      </c>
      <c r="P69">
        <f>Commulative!P69/Commulative!$A69</f>
        <v>4.2253521126760563E-2</v>
      </c>
      <c r="Q69">
        <f>Commulative!Q69/Commulative!$A69</f>
        <v>4.2253521126760563E-2</v>
      </c>
    </row>
    <row r="70" spans="1:17">
      <c r="A70">
        <f>Sheet1!A76</f>
        <v>75</v>
      </c>
      <c r="B70" t="str">
        <f>Sheet1!B76</f>
        <v>CoNLL</v>
      </c>
      <c r="C70" t="str">
        <f>Sheet1!C76</f>
        <v>BabyLM 2nd</v>
      </c>
      <c r="D70">
        <f>Sheet1!E76</f>
        <v>0</v>
      </c>
      <c r="E70">
        <f>Sheet1!F76</f>
        <v>2024</v>
      </c>
      <c r="F70">
        <f>Commulative!F70/Commulative!$A70</f>
        <v>0.04</v>
      </c>
      <c r="G70">
        <f>Commulative!G70/Commulative!$A70</f>
        <v>0</v>
      </c>
      <c r="H70">
        <f>Commulative!H70/Commulative!$A70</f>
        <v>0</v>
      </c>
      <c r="I70">
        <f>Commulative!I70/Commulative!$A70</f>
        <v>0</v>
      </c>
      <c r="J70">
        <f>Commulative!J70/Commulative!$A70</f>
        <v>0.04</v>
      </c>
      <c r="K70">
        <f>Commulative!K70/Commulative!$A70</f>
        <v>0.04</v>
      </c>
      <c r="L70">
        <f>Commulative!L70/Commulative!$A70</f>
        <v>0.04</v>
      </c>
      <c r="M70">
        <f>Commulative!M70/Commulative!$A70</f>
        <v>1.3333333333333334E-2</v>
      </c>
      <c r="N70">
        <f>Commulative!N70/Commulative!$A70</f>
        <v>0.04</v>
      </c>
      <c r="O70">
        <f>Commulative!O70/Commulative!$A70</f>
        <v>0.04</v>
      </c>
      <c r="P70">
        <f>Commulative!P70/Commulative!$A70</f>
        <v>0.04</v>
      </c>
      <c r="Q70">
        <f>Commulative!Q70/Commulative!$A70</f>
        <v>0.04</v>
      </c>
    </row>
    <row r="71" spans="1:17">
      <c r="A71">
        <f>Sheet1!A77</f>
        <v>76</v>
      </c>
      <c r="B71" t="str">
        <f>Sheet1!B77</f>
        <v>Neurips</v>
      </c>
      <c r="C71" t="str">
        <f>Sheet1!C77</f>
        <v>Model Merging Competition</v>
      </c>
      <c r="D71">
        <f>Sheet1!E77</f>
        <v>0</v>
      </c>
      <c r="E71">
        <f>Sheet1!F77</f>
        <v>2024</v>
      </c>
      <c r="F71">
        <f>Commulative!F71/Commulative!$A71</f>
        <v>2.6315789473684209E-2</v>
      </c>
      <c r="G71">
        <f>Commulative!G71/Commulative!$A71</f>
        <v>0</v>
      </c>
      <c r="H71">
        <f>Commulative!H71/Commulative!$A71</f>
        <v>0</v>
      </c>
      <c r="I71">
        <f>Commulative!I71/Commulative!$A71</f>
        <v>0</v>
      </c>
      <c r="J71">
        <f>Commulative!J71/Commulative!$A71</f>
        <v>2.6315789473684209E-2</v>
      </c>
      <c r="K71">
        <f>Commulative!K71/Commulative!$A71</f>
        <v>2.6315789473684209E-2</v>
      </c>
      <c r="L71">
        <f>Commulative!L71/Commulative!$A71</f>
        <v>2.6315789473684209E-2</v>
      </c>
      <c r="M71">
        <f>Commulative!M71/Commulative!$A71</f>
        <v>0</v>
      </c>
      <c r="N71">
        <f>Commulative!N71/Commulative!$A71</f>
        <v>2.6315789473684209E-2</v>
      </c>
      <c r="O71">
        <f>Commulative!O71/Commulative!$A71</f>
        <v>2.6315789473684209E-2</v>
      </c>
      <c r="P71">
        <f>Commulative!P71/Commulative!$A71</f>
        <v>2.6315789473684209E-2</v>
      </c>
      <c r="Q71">
        <f>Commulative!Q71/Commulative!$A71</f>
        <v>2.6315789473684209E-2</v>
      </c>
    </row>
    <row r="72" spans="1:17">
      <c r="A72">
        <f>Sheet1!A78</f>
        <v>77</v>
      </c>
      <c r="B72" t="str">
        <f>Sheet1!B78</f>
        <v>ICLR (under review)</v>
      </c>
      <c r="C72" t="str">
        <f>Sheet1!C78</f>
        <v>Super Tiny Language Models</v>
      </c>
      <c r="D72">
        <f>Sheet1!E78</f>
        <v>0</v>
      </c>
      <c r="E72">
        <f>Sheet1!F78</f>
        <v>2024</v>
      </c>
      <c r="F72">
        <f>Commulative!F72/Commulative!$A72</f>
        <v>1.2987012987012988E-2</v>
      </c>
      <c r="G72">
        <f>Commulative!G72/Commulative!$A72</f>
        <v>0</v>
      </c>
      <c r="H72">
        <f>Commulative!H72/Commulative!$A72</f>
        <v>0</v>
      </c>
      <c r="I72">
        <f>Commulative!I72/Commulative!$A72</f>
        <v>0</v>
      </c>
      <c r="J72">
        <f>Commulative!J72/Commulative!$A72</f>
        <v>1.2987012987012988E-2</v>
      </c>
      <c r="K72">
        <f>Commulative!K72/Commulative!$A72</f>
        <v>1.2987012987012988E-2</v>
      </c>
      <c r="L72">
        <f>Commulative!L72/Commulative!$A72</f>
        <v>1.2987012987012988E-2</v>
      </c>
      <c r="M72">
        <f>Commulative!M72/Commulative!$A72</f>
        <v>0</v>
      </c>
      <c r="N72">
        <f>Commulative!N72/Commulative!$A72</f>
        <v>1.2987012987012988E-2</v>
      </c>
      <c r="O72">
        <f>Commulative!O72/Commulative!$A72</f>
        <v>1.2987012987012988E-2</v>
      </c>
      <c r="P72">
        <f>Commulative!P72/Commulative!$A72</f>
        <v>1.2987012987012988E-2</v>
      </c>
      <c r="Q72">
        <f>Commulative!Q72/Commulative!$A72</f>
        <v>1.2987012987012988E-2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Commulative</vt:lpstr>
      <vt:lpstr>Normalized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LESHEM CHOSHEN</dc:creator>
  <cp:lastModifiedBy>LESHEM CHOSHEN</cp:lastModifiedBy>
  <dcterms:created xsi:type="dcterms:W3CDTF">2024-08-21T02:00:05Z</dcterms:created>
  <dcterms:modified xsi:type="dcterms:W3CDTF">2025-01-22T12:41:23Z</dcterms:modified>
</cp:coreProperties>
</file>