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c/PycharmProjects/publications/"/>
    </mc:Choice>
  </mc:AlternateContent>
  <xr:revisionPtr revIDLastSave="0" documentId="13_ncr:1_{5A9244A3-14BF-234E-B5D8-A328E44EA3C2}" xr6:coauthVersionLast="47" xr6:coauthVersionMax="47" xr10:uidLastSave="{00000000-0000-0000-0000-000000000000}"/>
  <bookViews>
    <workbookView xWindow="0" yWindow="660" windowWidth="34560" windowHeight="21680" xr2:uid="{5AA491FB-7947-2140-ACD9-201A623594D0}"/>
  </bookViews>
  <sheets>
    <sheet name="Sheet1" sheetId="1" r:id="rId1"/>
    <sheet name="Commulative" sheetId="2" r:id="rId2"/>
    <sheet name="Normalized" sheetId="3" r:id="rId3"/>
  </sheets>
  <definedNames>
    <definedName name="_xlnm._FilterDatabase" localSheetId="0" hidden="1">Sheet1!$A$1:$AK$78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2" i="1" l="1"/>
  <c r="AG72" i="1" s="1"/>
  <c r="AH72" i="1"/>
  <c r="AI72" i="1"/>
  <c r="AK72" i="1"/>
  <c r="AF73" i="1"/>
  <c r="AG73" i="1"/>
  <c r="AH73" i="1"/>
  <c r="AI73" i="1"/>
  <c r="AK73" i="1"/>
  <c r="AF74" i="1"/>
  <c r="AG74" i="1" s="1"/>
  <c r="AH74" i="1"/>
  <c r="AI74" i="1"/>
  <c r="AK74" i="1"/>
  <c r="AF75" i="1"/>
  <c r="AG75" i="1"/>
  <c r="AH75" i="1"/>
  <c r="AI75" i="1"/>
  <c r="AK75" i="1"/>
  <c r="AF76" i="1"/>
  <c r="AG76" i="1" s="1"/>
  <c r="AH76" i="1"/>
  <c r="AI76" i="1"/>
  <c r="AK76" i="1"/>
  <c r="AF77" i="1"/>
  <c r="AG77" i="1"/>
  <c r="AH77" i="1"/>
  <c r="AI77" i="1"/>
  <c r="AK77" i="1"/>
  <c r="AF78" i="1"/>
  <c r="AG78" i="1" s="1"/>
  <c r="AH78" i="1"/>
  <c r="AI78" i="1"/>
  <c r="AK78" i="1"/>
  <c r="AF79" i="1"/>
  <c r="AG79" i="1"/>
  <c r="AH79" i="1"/>
  <c r="AI79" i="1"/>
  <c r="AK79" i="1"/>
  <c r="AF80" i="1"/>
  <c r="AG80" i="1" s="1"/>
  <c r="AH80" i="1"/>
  <c r="AI80" i="1"/>
  <c r="AK80" i="1"/>
  <c r="AF81" i="1"/>
  <c r="AG81" i="1"/>
  <c r="AH81" i="1"/>
  <c r="AI81" i="1"/>
  <c r="AK81" i="1"/>
  <c r="AF82" i="1"/>
  <c r="AG82" i="1" s="1"/>
  <c r="AH82" i="1"/>
  <c r="AI82" i="1"/>
  <c r="AK82" i="1"/>
  <c r="AF83" i="1"/>
  <c r="AG83" i="1"/>
  <c r="AH83" i="1"/>
  <c r="AI83" i="1"/>
  <c r="AK83" i="1"/>
  <c r="AF84" i="1"/>
  <c r="AG84" i="1" s="1"/>
  <c r="AH84" i="1"/>
  <c r="AI84" i="1"/>
  <c r="AK84" i="1"/>
  <c r="AF85" i="1"/>
  <c r="AG85" i="1" s="1"/>
  <c r="AH85" i="1"/>
  <c r="AI85" i="1"/>
  <c r="AK85" i="1"/>
  <c r="AF86" i="1"/>
  <c r="AG86" i="1" s="1"/>
  <c r="AH86" i="1"/>
  <c r="AI86" i="1"/>
  <c r="AK86" i="1"/>
  <c r="AF87" i="1"/>
  <c r="AG87" i="1"/>
  <c r="AH87" i="1"/>
  <c r="AI87" i="1"/>
  <c r="AK87" i="1"/>
  <c r="AF88" i="1"/>
  <c r="AG88" i="1" s="1"/>
  <c r="AH88" i="1"/>
  <c r="AI88" i="1"/>
  <c r="AK88" i="1"/>
  <c r="AF89" i="1"/>
  <c r="AG89" i="1"/>
  <c r="AH89" i="1"/>
  <c r="AI89" i="1"/>
  <c r="AK89" i="1"/>
  <c r="AF90" i="1"/>
  <c r="AG90" i="1" s="1"/>
  <c r="AH90" i="1"/>
  <c r="AI90" i="1"/>
  <c r="AK90" i="1"/>
  <c r="AF91" i="1"/>
  <c r="AG91" i="1"/>
  <c r="AH91" i="1"/>
  <c r="AI91" i="1"/>
  <c r="AK91" i="1"/>
  <c r="AF92" i="1"/>
  <c r="AG92" i="1" s="1"/>
  <c r="AH92" i="1"/>
  <c r="AI92" i="1"/>
  <c r="AK92" i="1"/>
  <c r="AF93" i="1"/>
  <c r="AG93" i="1" s="1"/>
  <c r="AH93" i="1"/>
  <c r="AI93" i="1"/>
  <c r="AK93" i="1"/>
  <c r="AF94" i="1"/>
  <c r="AG94" i="1" s="1"/>
  <c r="AH94" i="1"/>
  <c r="AI94" i="1"/>
  <c r="AK94" i="1"/>
  <c r="AF95" i="1"/>
  <c r="AG95" i="1"/>
  <c r="AH95" i="1"/>
  <c r="AI95" i="1"/>
  <c r="AK95" i="1"/>
  <c r="AF96" i="1"/>
  <c r="AG96" i="1" s="1"/>
  <c r="AH96" i="1"/>
  <c r="AI96" i="1"/>
  <c r="AK96" i="1"/>
  <c r="AF97" i="1"/>
  <c r="AG97" i="1"/>
  <c r="AH97" i="1"/>
  <c r="AI97" i="1"/>
  <c r="AK97" i="1"/>
  <c r="AF98" i="1"/>
  <c r="AG98" i="1" s="1"/>
  <c r="AH98" i="1"/>
  <c r="AI98" i="1"/>
  <c r="AK98" i="1"/>
  <c r="B14" i="1" a="1"/>
  <c r="B14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/>
  <c r="B102" i="1" a="1"/>
  <c r="B102" i="1" s="1"/>
  <c r="B103" i="1" a="1"/>
  <c r="B103" i="1" s="1"/>
  <c r="B104" i="1" a="1"/>
  <c r="B104" i="1" s="1"/>
  <c r="B105" i="1" a="1"/>
  <c r="B105" i="1"/>
  <c r="B106" i="1" a="1"/>
  <c r="B106" i="1"/>
  <c r="B107" i="1" a="1"/>
  <c r="B107" i="1" s="1"/>
  <c r="B108" i="1" a="1"/>
  <c r="B108" i="1" s="1"/>
  <c r="B109" i="1" a="1"/>
  <c r="B109" i="1" s="1"/>
  <c r="B110" i="1" a="1"/>
  <c r="B110" i="1"/>
  <c r="B111" i="1" a="1"/>
  <c r="B111" i="1"/>
  <c r="B112" i="1" a="1"/>
  <c r="B112" i="1" s="1"/>
  <c r="B113" i="1" a="1"/>
  <c r="B113" i="1" s="1"/>
  <c r="B114" i="1" a="1"/>
  <c r="B114" i="1" s="1"/>
  <c r="B115" i="1" a="1"/>
  <c r="B115" i="1"/>
  <c r="B116" i="1" a="1"/>
  <c r="B116" i="1"/>
  <c r="B117" i="1" a="1"/>
  <c r="B117" i="1" s="1"/>
  <c r="B118" i="1" a="1"/>
  <c r="B118" i="1" s="1"/>
  <c r="B119" i="1" a="1"/>
  <c r="B119" i="1" s="1"/>
  <c r="B120" i="1" a="1"/>
  <c r="B120" i="1"/>
  <c r="B121" i="1" a="1"/>
  <c r="B121" i="1"/>
  <c r="B122" i="1" a="1"/>
  <c r="B122" i="1" s="1"/>
  <c r="B123" i="1" a="1"/>
  <c r="B123" i="1" s="1"/>
  <c r="B124" i="1" a="1"/>
  <c r="B124" i="1" s="1"/>
  <c r="B125" i="1" a="1"/>
  <c r="B125" i="1"/>
  <c r="B126" i="1" a="1"/>
  <c r="B126" i="1"/>
  <c r="B127" i="1" a="1"/>
  <c r="B127" i="1" s="1"/>
  <c r="B16" i="1" a="1"/>
  <c r="B16" i="1" s="1"/>
  <c r="B17" i="1" a="1"/>
  <c r="B17" i="1"/>
  <c r="B18" i="1" a="1"/>
  <c r="B18" i="1" s="1"/>
  <c r="B19" i="1" a="1"/>
  <c r="B19" i="1" s="1"/>
  <c r="B28" i="1" a="1"/>
  <c r="B28" i="1"/>
  <c r="B29" i="1" a="1"/>
  <c r="B29" i="1" s="1"/>
  <c r="B30" i="1" a="1"/>
  <c r="B30" i="1" s="1"/>
  <c r="B31" i="1" a="1"/>
  <c r="B31" i="1" s="1"/>
  <c r="B32" i="1" a="1"/>
  <c r="B32" i="1"/>
  <c r="B33" i="1" a="1"/>
  <c r="B33" i="1"/>
  <c r="B34" i="1" a="1"/>
  <c r="B34" i="1" s="1"/>
  <c r="B35" i="1" a="1"/>
  <c r="B35" i="1" s="1"/>
  <c r="B36" i="1" a="1"/>
  <c r="B36" i="1" s="1"/>
  <c r="B37" i="1" a="1"/>
  <c r="B37" i="1"/>
  <c r="B38" i="1" a="1"/>
  <c r="B38" i="1"/>
  <c r="B39" i="1" a="1"/>
  <c r="B39" i="1" s="1"/>
  <c r="B40" i="1" a="1"/>
  <c r="B40" i="1" s="1"/>
  <c r="B41" i="1" a="1"/>
  <c r="B41" i="1" s="1"/>
  <c r="B42" i="1" a="1"/>
  <c r="B42" i="1"/>
  <c r="B43" i="1" a="1"/>
  <c r="B43" i="1" s="1"/>
  <c r="B44" i="1" a="1"/>
  <c r="B44" i="1" s="1"/>
  <c r="B45" i="1" a="1"/>
  <c r="B45" i="1" s="1"/>
  <c r="B46" i="1" a="1"/>
  <c r="B46" i="1" s="1"/>
  <c r="B47" i="1" a="1"/>
  <c r="B47" i="1"/>
  <c r="B48" i="1" a="1"/>
  <c r="B48" i="1"/>
  <c r="B49" i="1" a="1"/>
  <c r="B49" i="1" s="1"/>
  <c r="B50" i="1" a="1"/>
  <c r="B50" i="1" s="1"/>
  <c r="B51" i="1" a="1"/>
  <c r="B51" i="1" s="1"/>
  <c r="B52" i="1" a="1"/>
  <c r="B52" i="1"/>
  <c r="B53" i="1" a="1"/>
  <c r="B53" i="1"/>
  <c r="B54" i="1" a="1"/>
  <c r="B54" i="1" s="1"/>
  <c r="B55" i="1" a="1"/>
  <c r="B55" i="1" s="1"/>
  <c r="B56" i="1" a="1"/>
  <c r="B56" i="1" s="1"/>
  <c r="B57" i="1" a="1"/>
  <c r="B57" i="1"/>
  <c r="B58" i="1" a="1"/>
  <c r="B58" i="1"/>
  <c r="B59" i="1" a="1"/>
  <c r="B59" i="1" s="1"/>
  <c r="B60" i="1" a="1"/>
  <c r="B60" i="1" s="1"/>
  <c r="B61" i="1" a="1"/>
  <c r="B61" i="1" s="1"/>
  <c r="B62" i="1" a="1"/>
  <c r="B62" i="1"/>
  <c r="B63" i="1" a="1"/>
  <c r="B63" i="1"/>
  <c r="B65" i="1" a="1"/>
  <c r="B65" i="1" s="1"/>
  <c r="B66" i="1" a="1"/>
  <c r="B66" i="1" s="1"/>
  <c r="B67" i="1" a="1"/>
  <c r="B67" i="1"/>
  <c r="B68" i="1" a="1"/>
  <c r="B68" i="1"/>
  <c r="B69" i="1" a="1"/>
  <c r="B69" i="1" s="1"/>
  <c r="B70" i="1" a="1"/>
  <c r="B70" i="1" s="1"/>
  <c r="B71" i="1" a="1"/>
  <c r="B71" i="1" s="1"/>
  <c r="B72" i="1" a="1"/>
  <c r="B72" i="1"/>
  <c r="B73" i="1" a="1"/>
  <c r="B73" i="1" s="1"/>
  <c r="B74" i="1" a="1"/>
  <c r="B74" i="1" s="1"/>
  <c r="B76" i="1" a="1"/>
  <c r="B76" i="1" s="1"/>
  <c r="B77" i="1" a="1"/>
  <c r="B77" i="1"/>
  <c r="B78" i="1" a="1"/>
  <c r="B78" i="1" s="1"/>
  <c r="B79" i="1" a="1"/>
  <c r="B79" i="1" s="1"/>
  <c r="B81" i="1" a="1"/>
  <c r="B81" i="1" s="1"/>
  <c r="B82" i="1" a="1"/>
  <c r="B82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2" i="1" a="1"/>
  <c r="B2" i="1" s="1"/>
  <c r="B3" i="1" a="1"/>
  <c r="B3" i="1" s="1"/>
  <c r="B4" i="1" a="1"/>
  <c r="B4" i="1" s="1"/>
  <c r="B5" i="1" a="1"/>
  <c r="B5" i="1" s="1"/>
  <c r="B6" i="1" a="1"/>
  <c r="B6" i="1"/>
  <c r="B7" i="1" a="1"/>
  <c r="B7" i="1" s="1"/>
  <c r="B8" i="1" a="1"/>
  <c r="B8" i="1" s="1"/>
  <c r="B9" i="1" a="1"/>
  <c r="B9" i="1" s="1"/>
  <c r="B10" i="1" a="1"/>
  <c r="B10" i="1" s="1"/>
  <c r="B11" i="1" a="1"/>
  <c r="B11" i="1"/>
  <c r="B12" i="1" a="1"/>
  <c r="B12" i="1" s="1"/>
  <c r="B13" i="1" a="1"/>
  <c r="B13" i="1" s="1"/>
  <c r="B15" i="1" a="1"/>
  <c r="B15" i="1" s="1"/>
  <c r="AK71" i="1"/>
  <c r="AI71" i="1"/>
  <c r="AH71" i="1"/>
  <c r="AF71" i="1"/>
  <c r="AG71" i="1" s="1"/>
  <c r="AE71" i="1"/>
  <c r="A3" i="1"/>
  <c r="A4" i="1" s="1"/>
  <c r="AE75" i="1"/>
  <c r="Y137" i="1"/>
  <c r="AE79" i="1"/>
  <c r="W137" i="1"/>
  <c r="AH137" i="1" s="1"/>
  <c r="T137" i="1"/>
  <c r="O137" i="1"/>
  <c r="H137" i="1"/>
  <c r="AK69" i="1"/>
  <c r="AK66" i="1"/>
  <c r="AK65" i="1"/>
  <c r="AK64" i="1"/>
  <c r="AK63" i="1"/>
  <c r="AK61" i="1"/>
  <c r="AK60" i="1"/>
  <c r="AK59" i="1"/>
  <c r="AK58" i="1"/>
  <c r="AK57" i="1"/>
  <c r="AK56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0" i="1"/>
  <c r="AK37" i="1"/>
  <c r="AK35" i="1"/>
  <c r="AK33" i="1"/>
  <c r="AK32" i="1"/>
  <c r="AK31" i="1"/>
  <c r="AK30" i="1"/>
  <c r="AK29" i="1"/>
  <c r="AK28" i="1"/>
  <c r="AK27" i="1"/>
  <c r="AK26" i="1"/>
  <c r="AK25" i="1"/>
  <c r="AK23" i="1"/>
  <c r="AK22" i="1"/>
  <c r="AK21" i="1"/>
  <c r="AK20" i="1"/>
  <c r="AK19" i="1"/>
  <c r="AK17" i="1"/>
  <c r="AK16" i="1"/>
  <c r="AK15" i="1"/>
  <c r="AK14" i="1"/>
  <c r="AK13" i="1"/>
  <c r="AK11" i="1"/>
  <c r="AK9" i="1"/>
  <c r="AK7" i="1"/>
  <c r="AK6" i="1"/>
  <c r="AK5" i="1"/>
  <c r="AK3" i="1"/>
  <c r="AK2" i="1"/>
  <c r="I137" i="1"/>
  <c r="J137" i="1"/>
  <c r="K137" i="1"/>
  <c r="L137" i="1"/>
  <c r="M137" i="1"/>
  <c r="N137" i="1"/>
  <c r="AE74" i="1"/>
  <c r="AE73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F22" i="1"/>
  <c r="AG22" i="1" s="1"/>
  <c r="AF23" i="1"/>
  <c r="AG23" i="1" s="1"/>
  <c r="AF24" i="1"/>
  <c r="AG24" i="1" s="1"/>
  <c r="AF25" i="1"/>
  <c r="AG25" i="1" s="1"/>
  <c r="AF26" i="1"/>
  <c r="AG26" i="1" s="1"/>
  <c r="AF27" i="1"/>
  <c r="AG27" i="1" s="1"/>
  <c r="AF28" i="1"/>
  <c r="AG28" i="1" s="1"/>
  <c r="AF29" i="1"/>
  <c r="AG29" i="1" s="1"/>
  <c r="AF30" i="1"/>
  <c r="AG30" i="1" s="1"/>
  <c r="AF31" i="1"/>
  <c r="AG31" i="1" s="1"/>
  <c r="AF32" i="1"/>
  <c r="AG32" i="1" s="1"/>
  <c r="AF33" i="1"/>
  <c r="AG33" i="1" s="1"/>
  <c r="AF34" i="1"/>
  <c r="AG34" i="1" s="1"/>
  <c r="AF35" i="1"/>
  <c r="AG35" i="1" s="1"/>
  <c r="AF36" i="1"/>
  <c r="AG36" i="1" s="1"/>
  <c r="AF37" i="1"/>
  <c r="AG37" i="1" s="1"/>
  <c r="AF38" i="1"/>
  <c r="AG38" i="1" s="1"/>
  <c r="AF39" i="1"/>
  <c r="AG39" i="1" s="1"/>
  <c r="AF40" i="1"/>
  <c r="AG40" i="1" s="1"/>
  <c r="AF41" i="1"/>
  <c r="AG41" i="1" s="1"/>
  <c r="AF42" i="1"/>
  <c r="AG42" i="1" s="1"/>
  <c r="AF43" i="1"/>
  <c r="AG43" i="1" s="1"/>
  <c r="AF44" i="1"/>
  <c r="AG44" i="1" s="1"/>
  <c r="AF45" i="1"/>
  <c r="AG45" i="1" s="1"/>
  <c r="AF46" i="1"/>
  <c r="AG46" i="1" s="1"/>
  <c r="AF47" i="1"/>
  <c r="AG47" i="1" s="1"/>
  <c r="AF48" i="1"/>
  <c r="AG48" i="1" s="1"/>
  <c r="AF49" i="1"/>
  <c r="AG49" i="1" s="1"/>
  <c r="AF50" i="1"/>
  <c r="AG50" i="1" s="1"/>
  <c r="AF51" i="1"/>
  <c r="AG51" i="1" s="1"/>
  <c r="AF52" i="1"/>
  <c r="AG52" i="1" s="1"/>
  <c r="AF53" i="1"/>
  <c r="AG53" i="1" s="1"/>
  <c r="AF54" i="1"/>
  <c r="AG54" i="1" s="1"/>
  <c r="AF55" i="1"/>
  <c r="AG55" i="1" s="1"/>
  <c r="AF56" i="1"/>
  <c r="AG56" i="1" s="1"/>
  <c r="AF57" i="1"/>
  <c r="AG57" i="1" s="1"/>
  <c r="AF58" i="1"/>
  <c r="AG58" i="1" s="1"/>
  <c r="AF59" i="1"/>
  <c r="AG59" i="1" s="1"/>
  <c r="AF60" i="1"/>
  <c r="AG60" i="1" s="1"/>
  <c r="AF61" i="1"/>
  <c r="AG61" i="1" s="1"/>
  <c r="AF62" i="1"/>
  <c r="AG62" i="1" s="1"/>
  <c r="AF63" i="1"/>
  <c r="AG63" i="1" s="1"/>
  <c r="AF64" i="1"/>
  <c r="AG64" i="1" s="1"/>
  <c r="AF65" i="1"/>
  <c r="AG65" i="1" s="1"/>
  <c r="AF66" i="1"/>
  <c r="AG66" i="1" s="1"/>
  <c r="AF67" i="1"/>
  <c r="AG67" i="1" s="1"/>
  <c r="AF68" i="1"/>
  <c r="AG68" i="1" s="1"/>
  <c r="AF69" i="1"/>
  <c r="AG69" i="1" s="1"/>
  <c r="AF70" i="1"/>
  <c r="AG70" i="1" s="1"/>
  <c r="AF3" i="1"/>
  <c r="AG3" i="1" s="1"/>
  <c r="AF4" i="1"/>
  <c r="AG4" i="1" s="1"/>
  <c r="AF5" i="1"/>
  <c r="AG5" i="1" s="1"/>
  <c r="AF6" i="1"/>
  <c r="AG6" i="1" s="1"/>
  <c r="AF7" i="1"/>
  <c r="AG7" i="1" s="1"/>
  <c r="AF8" i="1"/>
  <c r="AG8" i="1" s="1"/>
  <c r="AF9" i="1"/>
  <c r="AG9" i="1" s="1"/>
  <c r="AF10" i="1"/>
  <c r="AG10" i="1" s="1"/>
  <c r="AF11" i="1"/>
  <c r="AG11" i="1" s="1"/>
  <c r="AF12" i="1"/>
  <c r="AG12" i="1" s="1"/>
  <c r="AF13" i="1"/>
  <c r="AG13" i="1" s="1"/>
  <c r="AF2" i="1"/>
  <c r="AG2" i="1" s="1"/>
  <c r="AE41" i="1"/>
  <c r="AJ41" i="1" s="1"/>
  <c r="AH41" i="1"/>
  <c r="AI41" i="1"/>
  <c r="AE42" i="1"/>
  <c r="AJ42" i="1" s="1"/>
  <c r="AH42" i="1"/>
  <c r="AI42" i="1"/>
  <c r="AE43" i="1"/>
  <c r="AJ43" i="1" s="1"/>
  <c r="AH43" i="1"/>
  <c r="AI43" i="1"/>
  <c r="AE44" i="1"/>
  <c r="AJ44" i="1" s="1"/>
  <c r="AH44" i="1"/>
  <c r="AI44" i="1"/>
  <c r="AE45" i="1"/>
  <c r="AJ45" i="1" s="1"/>
  <c r="AH45" i="1"/>
  <c r="AI45" i="1"/>
  <c r="AE46" i="1"/>
  <c r="AJ46" i="1" s="1"/>
  <c r="AH46" i="1"/>
  <c r="AI46" i="1"/>
  <c r="AE47" i="1"/>
  <c r="AJ47" i="1" s="1"/>
  <c r="AH47" i="1"/>
  <c r="AI47" i="1"/>
  <c r="AE48" i="1"/>
  <c r="AJ48" i="1" s="1"/>
  <c r="AH48" i="1"/>
  <c r="AI48" i="1"/>
  <c r="AE49" i="1"/>
  <c r="AJ49" i="1" s="1"/>
  <c r="AH49" i="1"/>
  <c r="AI49" i="1"/>
  <c r="AE50" i="1"/>
  <c r="AJ50" i="1" s="1"/>
  <c r="AH50" i="1"/>
  <c r="AI50" i="1"/>
  <c r="AE51" i="1"/>
  <c r="AJ51" i="1" s="1"/>
  <c r="AH51" i="1"/>
  <c r="AI51" i="1"/>
  <c r="AE52" i="1"/>
  <c r="AJ52" i="1" s="1"/>
  <c r="AH52" i="1"/>
  <c r="AI52" i="1"/>
  <c r="AE53" i="1"/>
  <c r="AJ53" i="1" s="1"/>
  <c r="AH53" i="1"/>
  <c r="AI53" i="1"/>
  <c r="AE54" i="1"/>
  <c r="AJ54" i="1" s="1"/>
  <c r="AH54" i="1"/>
  <c r="AI54" i="1"/>
  <c r="AE55" i="1"/>
  <c r="AJ55" i="1" s="1"/>
  <c r="AH55" i="1"/>
  <c r="AI55" i="1"/>
  <c r="AE56" i="1"/>
  <c r="AJ56" i="1" s="1"/>
  <c r="AH56" i="1"/>
  <c r="AI56" i="1"/>
  <c r="AE57" i="1"/>
  <c r="AJ57" i="1" s="1"/>
  <c r="AH57" i="1"/>
  <c r="AI57" i="1"/>
  <c r="AE58" i="1"/>
  <c r="AJ58" i="1" s="1"/>
  <c r="AH58" i="1"/>
  <c r="AI58" i="1"/>
  <c r="AE59" i="1"/>
  <c r="AJ59" i="1" s="1"/>
  <c r="AH59" i="1"/>
  <c r="AI59" i="1"/>
  <c r="AE60" i="1"/>
  <c r="AJ60" i="1" s="1"/>
  <c r="AH60" i="1"/>
  <c r="AI60" i="1"/>
  <c r="AE61" i="1"/>
  <c r="AJ61" i="1" s="1"/>
  <c r="AH61" i="1"/>
  <c r="AI61" i="1"/>
  <c r="AE62" i="1"/>
  <c r="AJ62" i="1" s="1"/>
  <c r="AH62" i="1"/>
  <c r="AI62" i="1"/>
  <c r="AE63" i="1"/>
  <c r="AJ63" i="1" s="1"/>
  <c r="AH63" i="1"/>
  <c r="AI63" i="1"/>
  <c r="AE64" i="1"/>
  <c r="AJ64" i="1" s="1"/>
  <c r="AH64" i="1"/>
  <c r="AI64" i="1"/>
  <c r="AE65" i="1"/>
  <c r="AJ65" i="1" s="1"/>
  <c r="AH65" i="1"/>
  <c r="AI65" i="1"/>
  <c r="AE66" i="1"/>
  <c r="AJ66" i="1" s="1"/>
  <c r="AH66" i="1"/>
  <c r="AI66" i="1"/>
  <c r="AE67" i="1"/>
  <c r="AJ67" i="1" s="1"/>
  <c r="AH67" i="1"/>
  <c r="AI67" i="1"/>
  <c r="AE68" i="1"/>
  <c r="AJ68" i="1" s="1"/>
  <c r="AH68" i="1"/>
  <c r="AI68" i="1"/>
  <c r="AE69" i="1"/>
  <c r="AJ69" i="1" s="1"/>
  <c r="AH69" i="1"/>
  <c r="AI69" i="1"/>
  <c r="AE70" i="1"/>
  <c r="AJ70" i="1" s="1"/>
  <c r="AH70" i="1"/>
  <c r="AI70" i="1"/>
  <c r="AE72" i="1"/>
  <c r="AE77" i="1"/>
  <c r="AE78" i="1"/>
  <c r="AI37" i="1"/>
  <c r="AH37" i="1"/>
  <c r="AE37" i="1"/>
  <c r="B72" i="3"/>
  <c r="C72" i="3"/>
  <c r="D72" i="3"/>
  <c r="E72" i="3"/>
  <c r="B3" i="3"/>
  <c r="C3" i="3"/>
  <c r="D3" i="3"/>
  <c r="E3" i="3"/>
  <c r="B4" i="3"/>
  <c r="C4" i="3"/>
  <c r="D4" i="3"/>
  <c r="E4" i="3"/>
  <c r="B5" i="3"/>
  <c r="C5" i="3"/>
  <c r="D5" i="3"/>
  <c r="E5" i="3"/>
  <c r="B6" i="3"/>
  <c r="C6" i="3"/>
  <c r="D6" i="3"/>
  <c r="E6" i="3"/>
  <c r="B7" i="3"/>
  <c r="C7" i="3"/>
  <c r="D7" i="3"/>
  <c r="E7" i="3"/>
  <c r="B8" i="3"/>
  <c r="C8" i="3"/>
  <c r="D8" i="3"/>
  <c r="E8" i="3"/>
  <c r="B9" i="3"/>
  <c r="C9" i="3"/>
  <c r="D9" i="3"/>
  <c r="E9" i="3"/>
  <c r="B10" i="3"/>
  <c r="C10" i="3"/>
  <c r="D10" i="3"/>
  <c r="E10" i="3"/>
  <c r="B11" i="3"/>
  <c r="C11" i="3"/>
  <c r="D11" i="3"/>
  <c r="E11" i="3"/>
  <c r="B12" i="3"/>
  <c r="C12" i="3"/>
  <c r="D12" i="3"/>
  <c r="E12" i="3"/>
  <c r="B13" i="3"/>
  <c r="C13" i="3"/>
  <c r="D13" i="3"/>
  <c r="E13" i="3"/>
  <c r="B14" i="3"/>
  <c r="C14" i="3"/>
  <c r="D14" i="3"/>
  <c r="E14" i="3"/>
  <c r="B15" i="3"/>
  <c r="C15" i="3"/>
  <c r="D15" i="3"/>
  <c r="E15" i="3"/>
  <c r="B16" i="3"/>
  <c r="C16" i="3"/>
  <c r="D16" i="3"/>
  <c r="E16" i="3"/>
  <c r="B17" i="3"/>
  <c r="C17" i="3"/>
  <c r="D17" i="3"/>
  <c r="E17" i="3"/>
  <c r="B18" i="3"/>
  <c r="C18" i="3"/>
  <c r="D18" i="3"/>
  <c r="E18" i="3"/>
  <c r="B19" i="3"/>
  <c r="C19" i="3"/>
  <c r="D19" i="3"/>
  <c r="E19" i="3"/>
  <c r="B20" i="3"/>
  <c r="C20" i="3"/>
  <c r="D20" i="3"/>
  <c r="E20" i="3"/>
  <c r="B21" i="3"/>
  <c r="C21" i="3"/>
  <c r="D21" i="3"/>
  <c r="E21" i="3"/>
  <c r="B22" i="3"/>
  <c r="C22" i="3"/>
  <c r="D22" i="3"/>
  <c r="E22" i="3"/>
  <c r="B23" i="3"/>
  <c r="C23" i="3"/>
  <c r="D23" i="3"/>
  <c r="E23" i="3"/>
  <c r="B24" i="3"/>
  <c r="C24" i="3"/>
  <c r="D24" i="3"/>
  <c r="E24" i="3"/>
  <c r="B25" i="3"/>
  <c r="C25" i="3"/>
  <c r="D25" i="3"/>
  <c r="E25" i="3"/>
  <c r="B26" i="3"/>
  <c r="C26" i="3"/>
  <c r="D26" i="3"/>
  <c r="E26" i="3"/>
  <c r="B27" i="3"/>
  <c r="C27" i="3"/>
  <c r="D27" i="3"/>
  <c r="E27" i="3"/>
  <c r="B28" i="3"/>
  <c r="C28" i="3"/>
  <c r="D28" i="3"/>
  <c r="E28" i="3"/>
  <c r="B29" i="3"/>
  <c r="C29" i="3"/>
  <c r="D29" i="3"/>
  <c r="E29" i="3"/>
  <c r="B30" i="3"/>
  <c r="C30" i="3"/>
  <c r="D30" i="3"/>
  <c r="E30" i="3"/>
  <c r="B31" i="3"/>
  <c r="C31" i="3"/>
  <c r="D31" i="3"/>
  <c r="E31" i="3"/>
  <c r="B32" i="3"/>
  <c r="C32" i="3"/>
  <c r="D32" i="3"/>
  <c r="E32" i="3"/>
  <c r="B33" i="3"/>
  <c r="C33" i="3"/>
  <c r="D33" i="3"/>
  <c r="E33" i="3"/>
  <c r="B34" i="3"/>
  <c r="C34" i="3"/>
  <c r="D34" i="3"/>
  <c r="E34" i="3"/>
  <c r="B35" i="3"/>
  <c r="C35" i="3"/>
  <c r="D35" i="3"/>
  <c r="E35" i="3"/>
  <c r="B36" i="3"/>
  <c r="C36" i="3"/>
  <c r="D36" i="3"/>
  <c r="E36" i="3"/>
  <c r="B37" i="3"/>
  <c r="C37" i="3"/>
  <c r="D37" i="3"/>
  <c r="E37" i="3"/>
  <c r="B38" i="3"/>
  <c r="C38" i="3"/>
  <c r="D38" i="3"/>
  <c r="E38" i="3"/>
  <c r="B39" i="3"/>
  <c r="C39" i="3"/>
  <c r="D39" i="3"/>
  <c r="E39" i="3"/>
  <c r="B40" i="3"/>
  <c r="C40" i="3"/>
  <c r="D40" i="3"/>
  <c r="E40" i="3"/>
  <c r="B41" i="3"/>
  <c r="C41" i="3"/>
  <c r="D41" i="3"/>
  <c r="E41" i="3"/>
  <c r="B42" i="3"/>
  <c r="C42" i="3"/>
  <c r="D42" i="3"/>
  <c r="E42" i="3"/>
  <c r="B43" i="3"/>
  <c r="C43" i="3"/>
  <c r="D43" i="3"/>
  <c r="E43" i="3"/>
  <c r="B44" i="3"/>
  <c r="C44" i="3"/>
  <c r="D44" i="3"/>
  <c r="E44" i="3"/>
  <c r="B45" i="3"/>
  <c r="C45" i="3"/>
  <c r="D45" i="3"/>
  <c r="E45" i="3"/>
  <c r="B46" i="3"/>
  <c r="C46" i="3"/>
  <c r="D46" i="3"/>
  <c r="E46" i="3"/>
  <c r="B47" i="3"/>
  <c r="C47" i="3"/>
  <c r="D47" i="3"/>
  <c r="E47" i="3"/>
  <c r="B48" i="3"/>
  <c r="C48" i="3"/>
  <c r="D48" i="3"/>
  <c r="E48" i="3"/>
  <c r="B49" i="3"/>
  <c r="C49" i="3"/>
  <c r="D49" i="3"/>
  <c r="E49" i="3"/>
  <c r="B50" i="3"/>
  <c r="C50" i="3"/>
  <c r="D50" i="3"/>
  <c r="E50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B57" i="3"/>
  <c r="C57" i="3"/>
  <c r="D57" i="3"/>
  <c r="E57" i="3"/>
  <c r="B58" i="3"/>
  <c r="C58" i="3"/>
  <c r="D58" i="3"/>
  <c r="E58" i="3"/>
  <c r="B59" i="3"/>
  <c r="C59" i="3"/>
  <c r="D59" i="3"/>
  <c r="E59" i="3"/>
  <c r="B60" i="3"/>
  <c r="C60" i="3"/>
  <c r="D60" i="3"/>
  <c r="E60" i="3"/>
  <c r="B61" i="3"/>
  <c r="C61" i="3"/>
  <c r="D61" i="3"/>
  <c r="E61" i="3"/>
  <c r="B62" i="3"/>
  <c r="C62" i="3"/>
  <c r="D62" i="3"/>
  <c r="E62" i="3"/>
  <c r="B63" i="3"/>
  <c r="C63" i="3"/>
  <c r="D63" i="3"/>
  <c r="E63" i="3"/>
  <c r="B64" i="3"/>
  <c r="C64" i="3"/>
  <c r="D64" i="3"/>
  <c r="E64" i="3"/>
  <c r="B65" i="3"/>
  <c r="C65" i="3"/>
  <c r="D65" i="3"/>
  <c r="E65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0" i="3"/>
  <c r="C70" i="3"/>
  <c r="D70" i="3"/>
  <c r="E70" i="3"/>
  <c r="B71" i="3"/>
  <c r="C71" i="3"/>
  <c r="D71" i="3"/>
  <c r="E71" i="3"/>
  <c r="B70" i="2"/>
  <c r="C70" i="2"/>
  <c r="D70" i="2"/>
  <c r="E70" i="2"/>
  <c r="B71" i="2"/>
  <c r="C71" i="2"/>
  <c r="D71" i="2"/>
  <c r="E71" i="2"/>
  <c r="B72" i="2"/>
  <c r="C72" i="2"/>
  <c r="D72" i="2"/>
  <c r="E72" i="2"/>
  <c r="L72" i="2"/>
  <c r="L71" i="2" s="1"/>
  <c r="L70" i="2" s="1"/>
  <c r="L69" i="2" s="1"/>
  <c r="L68" i="2" s="1"/>
  <c r="L67" i="2" s="1"/>
  <c r="L66" i="2" s="1"/>
  <c r="L65" i="2" s="1"/>
  <c r="L64" i="2" s="1"/>
  <c r="L63" i="2" s="1"/>
  <c r="L62" i="2" s="1"/>
  <c r="L61" i="2" s="1"/>
  <c r="L60" i="2" s="1"/>
  <c r="L59" i="2" s="1"/>
  <c r="L58" i="2" s="1"/>
  <c r="L57" i="2" s="1"/>
  <c r="L56" i="2" s="1"/>
  <c r="L55" i="2" s="1"/>
  <c r="L54" i="2" s="1"/>
  <c r="L53" i="2" s="1"/>
  <c r="L52" i="2" s="1"/>
  <c r="L51" i="2" s="1"/>
  <c r="L50" i="2" s="1"/>
  <c r="L49" i="2" s="1"/>
  <c r="L48" i="2" s="1"/>
  <c r="L47" i="2" s="1"/>
  <c r="L46" i="2" s="1"/>
  <c r="L45" i="2" s="1"/>
  <c r="L44" i="2" s="1"/>
  <c r="L43" i="2" s="1"/>
  <c r="L42" i="2" s="1"/>
  <c r="L41" i="2" s="1"/>
  <c r="L40" i="2" s="1"/>
  <c r="L39" i="2" s="1"/>
  <c r="L38" i="2" s="1"/>
  <c r="L37" i="2" s="1"/>
  <c r="L36" i="2" s="1"/>
  <c r="L35" i="2" s="1"/>
  <c r="L34" i="2" s="1"/>
  <c r="L33" i="2" s="1"/>
  <c r="L32" i="2" s="1"/>
  <c r="L31" i="2" s="1"/>
  <c r="L30" i="2" s="1"/>
  <c r="L29" i="2" s="1"/>
  <c r="L28" i="2" s="1"/>
  <c r="L27" i="2" s="1"/>
  <c r="L26" i="2" s="1"/>
  <c r="L25" i="2" s="1"/>
  <c r="L24" i="2" s="1"/>
  <c r="L23" i="2" s="1"/>
  <c r="L22" i="2" s="1"/>
  <c r="L21" i="2" s="1"/>
  <c r="L20" i="2" s="1"/>
  <c r="L19" i="2" s="1"/>
  <c r="L18" i="2" s="1"/>
  <c r="L17" i="2" s="1"/>
  <c r="L16" i="2" s="1"/>
  <c r="L15" i="2" s="1"/>
  <c r="L14" i="2" s="1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72" i="2"/>
  <c r="M71" i="2" s="1"/>
  <c r="M70" i="2" s="1"/>
  <c r="M69" i="2" s="1"/>
  <c r="M68" i="2" s="1"/>
  <c r="M67" i="2" s="1"/>
  <c r="M66" i="2" s="1"/>
  <c r="M65" i="2" s="1"/>
  <c r="M64" i="2" s="1"/>
  <c r="M63" i="2" s="1"/>
  <c r="M62" i="2" s="1"/>
  <c r="M61" i="2" s="1"/>
  <c r="M60" i="2" s="1"/>
  <c r="M59" i="2" s="1"/>
  <c r="M58" i="2" s="1"/>
  <c r="M57" i="2" s="1"/>
  <c r="M56" i="2" s="1"/>
  <c r="M55" i="2" s="1"/>
  <c r="M54" i="2" s="1"/>
  <c r="M53" i="2" s="1"/>
  <c r="M52" i="2" s="1"/>
  <c r="M51" i="2" s="1"/>
  <c r="M50" i="2" s="1"/>
  <c r="M49" i="2" s="1"/>
  <c r="M48" i="2" s="1"/>
  <c r="M47" i="2" s="1"/>
  <c r="M46" i="2" s="1"/>
  <c r="M45" i="2" s="1"/>
  <c r="M44" i="2" s="1"/>
  <c r="M43" i="2" s="1"/>
  <c r="M42" i="2" s="1"/>
  <c r="M41" i="2" s="1"/>
  <c r="M40" i="2" s="1"/>
  <c r="M39" i="2" s="1"/>
  <c r="M38" i="2" s="1"/>
  <c r="M37" i="2" s="1"/>
  <c r="M36" i="2" s="1"/>
  <c r="M35" i="2" s="1"/>
  <c r="M34" i="2" s="1"/>
  <c r="M33" i="2" s="1"/>
  <c r="M32" i="2" s="1"/>
  <c r="M31" i="2" s="1"/>
  <c r="M30" i="2" s="1"/>
  <c r="M29" i="2" s="1"/>
  <c r="M28" i="2" s="1"/>
  <c r="M27" i="2" s="1"/>
  <c r="M26" i="2" s="1"/>
  <c r="M25" i="2" s="1"/>
  <c r="M24" i="2" s="1"/>
  <c r="M23" i="2" s="1"/>
  <c r="M22" i="2" s="1"/>
  <c r="M21" i="2" s="1"/>
  <c r="M20" i="2" s="1"/>
  <c r="M19" i="2" s="1"/>
  <c r="M18" i="2" s="1"/>
  <c r="M17" i="2" s="1"/>
  <c r="M16" i="2" s="1"/>
  <c r="M15" i="2" s="1"/>
  <c r="M14" i="2" s="1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F72" i="2"/>
  <c r="F71" i="2" s="1"/>
  <c r="F70" i="2" s="1"/>
  <c r="F69" i="2" s="1"/>
  <c r="F68" i="2" s="1"/>
  <c r="F67" i="2" s="1"/>
  <c r="F66" i="2" s="1"/>
  <c r="F65" i="2" s="1"/>
  <c r="F64" i="2" s="1"/>
  <c r="F63" i="2" s="1"/>
  <c r="F62" i="2" s="1"/>
  <c r="F61" i="2" s="1"/>
  <c r="F60" i="2" s="1"/>
  <c r="F59" i="2" s="1"/>
  <c r="F58" i="2" s="1"/>
  <c r="F57" i="2" s="1"/>
  <c r="F56" i="2" s="1"/>
  <c r="F55" i="2" s="1"/>
  <c r="F54" i="2" s="1"/>
  <c r="F53" i="2" s="1"/>
  <c r="F52" i="2" s="1"/>
  <c r="F51" i="2" s="1"/>
  <c r="F50" i="2" s="1"/>
  <c r="F49" i="2" s="1"/>
  <c r="F48" i="2" s="1"/>
  <c r="F47" i="2" s="1"/>
  <c r="F46" i="2" s="1"/>
  <c r="F45" i="2" s="1"/>
  <c r="F44" i="2" s="1"/>
  <c r="F43" i="2" s="1"/>
  <c r="F42" i="2" s="1"/>
  <c r="F41" i="2" s="1"/>
  <c r="F40" i="2" s="1"/>
  <c r="F39" i="2" s="1"/>
  <c r="F38" i="2" s="1"/>
  <c r="F37" i="2" s="1"/>
  <c r="F36" i="2" s="1"/>
  <c r="F35" i="2" s="1"/>
  <c r="F34" i="2" s="1"/>
  <c r="F33" i="2" s="1"/>
  <c r="F32" i="2" s="1"/>
  <c r="F31" i="2" s="1"/>
  <c r="F30" i="2" s="1"/>
  <c r="F29" i="2" s="1"/>
  <c r="F28" i="2" s="1"/>
  <c r="F27" i="2" s="1"/>
  <c r="F26" i="2" s="1"/>
  <c r="F25" i="2" s="1"/>
  <c r="F24" i="2" s="1"/>
  <c r="F23" i="2" s="1"/>
  <c r="F22" i="2" s="1"/>
  <c r="F21" i="2" s="1"/>
  <c r="F20" i="2" s="1"/>
  <c r="F19" i="2" s="1"/>
  <c r="F18" i="2" s="1"/>
  <c r="F17" i="2" s="1"/>
  <c r="F16" i="2" s="1"/>
  <c r="F15" i="2" s="1"/>
  <c r="F14" i="2" s="1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N72" i="2"/>
  <c r="N71" i="2" s="1"/>
  <c r="N70" i="2" s="1"/>
  <c r="N69" i="2" s="1"/>
  <c r="N68" i="2" s="1"/>
  <c r="N67" i="2" s="1"/>
  <c r="N66" i="2" s="1"/>
  <c r="N65" i="2" s="1"/>
  <c r="N64" i="2" s="1"/>
  <c r="N63" i="2" s="1"/>
  <c r="N62" i="2" s="1"/>
  <c r="N61" i="2" s="1"/>
  <c r="N60" i="2" s="1"/>
  <c r="N59" i="2" s="1"/>
  <c r="N58" i="2" s="1"/>
  <c r="N57" i="2" s="1"/>
  <c r="N56" i="2" s="1"/>
  <c r="N55" i="2" s="1"/>
  <c r="N54" i="2" s="1"/>
  <c r="N53" i="2" s="1"/>
  <c r="N52" i="2" s="1"/>
  <c r="N51" i="2" s="1"/>
  <c r="N50" i="2" s="1"/>
  <c r="N49" i="2" s="1"/>
  <c r="N48" i="2" s="1"/>
  <c r="N47" i="2" s="1"/>
  <c r="N46" i="2" s="1"/>
  <c r="N45" i="2" s="1"/>
  <c r="N44" i="2" s="1"/>
  <c r="N43" i="2" s="1"/>
  <c r="N42" i="2" s="1"/>
  <c r="N41" i="2" s="1"/>
  <c r="N40" i="2" s="1"/>
  <c r="N39" i="2" s="1"/>
  <c r="N38" i="2" s="1"/>
  <c r="N37" i="2" s="1"/>
  <c r="N36" i="2" s="1"/>
  <c r="N35" i="2" s="1"/>
  <c r="N34" i="2" s="1"/>
  <c r="N33" i="2" s="1"/>
  <c r="N32" i="2" s="1"/>
  <c r="N31" i="2" s="1"/>
  <c r="N30" i="2" s="1"/>
  <c r="N29" i="2" s="1"/>
  <c r="N28" i="2" s="1"/>
  <c r="N27" i="2" s="1"/>
  <c r="N26" i="2" s="1"/>
  <c r="N25" i="2" s="1"/>
  <c r="N24" i="2" s="1"/>
  <c r="N23" i="2" s="1"/>
  <c r="N22" i="2" s="1"/>
  <c r="N21" i="2" s="1"/>
  <c r="N20" i="2" s="1"/>
  <c r="N19" i="2" s="1"/>
  <c r="N18" i="2" s="1"/>
  <c r="N17" i="2" s="1"/>
  <c r="N16" i="2" s="1"/>
  <c r="N15" i="2" s="1"/>
  <c r="N14" i="2" s="1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72" i="2"/>
  <c r="O71" i="2" s="1"/>
  <c r="O70" i="2" s="1"/>
  <c r="O69" i="2" s="1"/>
  <c r="O68" i="2" s="1"/>
  <c r="O67" i="2" s="1"/>
  <c r="O66" i="2" s="1"/>
  <c r="O65" i="2" s="1"/>
  <c r="O64" i="2" s="1"/>
  <c r="O63" i="2" s="1"/>
  <c r="O62" i="2" s="1"/>
  <c r="O61" i="2" s="1"/>
  <c r="O60" i="2" s="1"/>
  <c r="O59" i="2" s="1"/>
  <c r="O58" i="2" s="1"/>
  <c r="O57" i="2" s="1"/>
  <c r="O56" i="2" s="1"/>
  <c r="O55" i="2" s="1"/>
  <c r="O54" i="2" s="1"/>
  <c r="O53" i="2" s="1"/>
  <c r="O52" i="2" s="1"/>
  <c r="O51" i="2" s="1"/>
  <c r="O50" i="2" s="1"/>
  <c r="O49" i="2" s="1"/>
  <c r="O48" i="2" s="1"/>
  <c r="O47" i="2" s="1"/>
  <c r="O46" i="2" s="1"/>
  <c r="O45" i="2" s="1"/>
  <c r="O44" i="2" s="1"/>
  <c r="O43" i="2" s="1"/>
  <c r="O42" i="2" s="1"/>
  <c r="O41" i="2" s="1"/>
  <c r="O40" i="2" s="1"/>
  <c r="O39" i="2" s="1"/>
  <c r="O38" i="2" s="1"/>
  <c r="O37" i="2" s="1"/>
  <c r="O36" i="2" s="1"/>
  <c r="O35" i="2" s="1"/>
  <c r="O34" i="2" s="1"/>
  <c r="O33" i="2" s="1"/>
  <c r="O32" i="2" s="1"/>
  <c r="O31" i="2" s="1"/>
  <c r="O30" i="2" s="1"/>
  <c r="O29" i="2" s="1"/>
  <c r="O28" i="2" s="1"/>
  <c r="O27" i="2" s="1"/>
  <c r="O26" i="2" s="1"/>
  <c r="O25" i="2" s="1"/>
  <c r="O24" i="2" s="1"/>
  <c r="O23" i="2" s="1"/>
  <c r="O22" i="2" s="1"/>
  <c r="O21" i="2" s="1"/>
  <c r="O20" i="2" s="1"/>
  <c r="O19" i="2" s="1"/>
  <c r="O18" i="2" s="1"/>
  <c r="O17" i="2" s="1"/>
  <c r="O16" i="2" s="1"/>
  <c r="O15" i="2" s="1"/>
  <c r="O14" i="2" s="1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72" i="2"/>
  <c r="P71" i="2" s="1"/>
  <c r="P70" i="2" s="1"/>
  <c r="P69" i="2" s="1"/>
  <c r="P68" i="2" s="1"/>
  <c r="P67" i="2" s="1"/>
  <c r="P66" i="2" s="1"/>
  <c r="P65" i="2" s="1"/>
  <c r="P64" i="2" s="1"/>
  <c r="P63" i="2" s="1"/>
  <c r="P62" i="2" s="1"/>
  <c r="P61" i="2" s="1"/>
  <c r="P60" i="2" s="1"/>
  <c r="P59" i="2" s="1"/>
  <c r="P58" i="2" s="1"/>
  <c r="P57" i="2" s="1"/>
  <c r="P56" i="2" s="1"/>
  <c r="P55" i="2" s="1"/>
  <c r="P54" i="2" s="1"/>
  <c r="P53" i="2" s="1"/>
  <c r="P52" i="2" s="1"/>
  <c r="P51" i="2" s="1"/>
  <c r="P50" i="2" s="1"/>
  <c r="P49" i="2" s="1"/>
  <c r="P48" i="2" s="1"/>
  <c r="P47" i="2" s="1"/>
  <c r="P46" i="2" s="1"/>
  <c r="P45" i="2" s="1"/>
  <c r="P44" i="2" s="1"/>
  <c r="P43" i="2" s="1"/>
  <c r="P42" i="2" s="1"/>
  <c r="P41" i="2" s="1"/>
  <c r="P40" i="2" s="1"/>
  <c r="P39" i="2" s="1"/>
  <c r="P38" i="2" s="1"/>
  <c r="P37" i="2" s="1"/>
  <c r="P36" i="2" s="1"/>
  <c r="P35" i="2" s="1"/>
  <c r="P34" i="2" s="1"/>
  <c r="P33" i="2" s="1"/>
  <c r="P32" i="2" s="1"/>
  <c r="P31" i="2" s="1"/>
  <c r="P30" i="2" s="1"/>
  <c r="P29" i="2" s="1"/>
  <c r="P28" i="2" s="1"/>
  <c r="P27" i="2" s="1"/>
  <c r="P26" i="2" s="1"/>
  <c r="P25" i="2" s="1"/>
  <c r="P24" i="2" s="1"/>
  <c r="P23" i="2" s="1"/>
  <c r="P22" i="2" s="1"/>
  <c r="P21" i="2" s="1"/>
  <c r="P20" i="2" s="1"/>
  <c r="P19" i="2" s="1"/>
  <c r="P18" i="2" s="1"/>
  <c r="P17" i="2" s="1"/>
  <c r="P16" i="2" s="1"/>
  <c r="P15" i="2" s="1"/>
  <c r="P14" i="2" s="1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G72" i="2"/>
  <c r="G71" i="2" s="1"/>
  <c r="G70" i="2" s="1"/>
  <c r="G69" i="2" s="1"/>
  <c r="H72" i="2"/>
  <c r="H71" i="2" s="1"/>
  <c r="H70" i="2" s="1"/>
  <c r="H69" i="2" s="1"/>
  <c r="I72" i="2"/>
  <c r="I71" i="2" s="1"/>
  <c r="I70" i="2" s="1"/>
  <c r="I69" i="2" s="1"/>
  <c r="J72" i="2"/>
  <c r="J71" i="2" s="1"/>
  <c r="J70" i="2" s="1"/>
  <c r="J69" i="2" s="1"/>
  <c r="K72" i="2"/>
  <c r="K71" i="2" s="1"/>
  <c r="K70" i="2" s="1"/>
  <c r="K69" i="2" s="1"/>
  <c r="Q72" i="2"/>
  <c r="Q71" i="2" s="1"/>
  <c r="Q70" i="2" s="1"/>
  <c r="Q69" i="2" s="1"/>
  <c r="A3" i="2"/>
  <c r="B3" i="2"/>
  <c r="C3" i="2"/>
  <c r="D3" i="2"/>
  <c r="E3" i="2"/>
  <c r="B4" i="2"/>
  <c r="C4" i="2"/>
  <c r="D4" i="2"/>
  <c r="E4" i="2"/>
  <c r="B5" i="2"/>
  <c r="C5" i="2"/>
  <c r="D5" i="2"/>
  <c r="E5" i="2"/>
  <c r="B6" i="2"/>
  <c r="C6" i="2"/>
  <c r="D6" i="2"/>
  <c r="E6" i="2"/>
  <c r="B7" i="2"/>
  <c r="C7" i="2"/>
  <c r="D7" i="2"/>
  <c r="E7" i="2"/>
  <c r="B8" i="2"/>
  <c r="C8" i="2"/>
  <c r="D8" i="2"/>
  <c r="E8" i="2"/>
  <c r="B9" i="2"/>
  <c r="C9" i="2"/>
  <c r="D9" i="2"/>
  <c r="E9" i="2"/>
  <c r="B10" i="2"/>
  <c r="C10" i="2"/>
  <c r="D10" i="2"/>
  <c r="E10" i="2"/>
  <c r="B11" i="2"/>
  <c r="C11" i="2"/>
  <c r="D11" i="2"/>
  <c r="E11" i="2"/>
  <c r="B12" i="2"/>
  <c r="C12" i="2"/>
  <c r="D12" i="2"/>
  <c r="E12" i="2"/>
  <c r="B13" i="2"/>
  <c r="C13" i="2"/>
  <c r="D13" i="2"/>
  <c r="E13" i="2"/>
  <c r="B14" i="2"/>
  <c r="C14" i="2"/>
  <c r="D14" i="2"/>
  <c r="E14" i="2"/>
  <c r="B15" i="2"/>
  <c r="C15" i="2"/>
  <c r="D15" i="2"/>
  <c r="E15" i="2"/>
  <c r="B16" i="2"/>
  <c r="C16" i="2"/>
  <c r="D16" i="2"/>
  <c r="E16" i="2"/>
  <c r="B17" i="2"/>
  <c r="C17" i="2"/>
  <c r="D17" i="2"/>
  <c r="E17" i="2"/>
  <c r="B18" i="2"/>
  <c r="C18" i="2"/>
  <c r="D18" i="2"/>
  <c r="E18" i="2"/>
  <c r="B19" i="2"/>
  <c r="C19" i="2"/>
  <c r="D19" i="2"/>
  <c r="E19" i="2"/>
  <c r="B20" i="2"/>
  <c r="C20" i="2"/>
  <c r="D20" i="2"/>
  <c r="E20" i="2"/>
  <c r="B21" i="2"/>
  <c r="C21" i="2"/>
  <c r="D21" i="2"/>
  <c r="E21" i="2"/>
  <c r="B22" i="2"/>
  <c r="C22" i="2"/>
  <c r="D22" i="2"/>
  <c r="E22" i="2"/>
  <c r="B23" i="2"/>
  <c r="C23" i="2"/>
  <c r="D23" i="2"/>
  <c r="E23" i="2"/>
  <c r="B24" i="2"/>
  <c r="C24" i="2"/>
  <c r="D24" i="2"/>
  <c r="E24" i="2"/>
  <c r="B25" i="2"/>
  <c r="C25" i="2"/>
  <c r="D25" i="2"/>
  <c r="E25" i="2"/>
  <c r="B26" i="2"/>
  <c r="C26" i="2"/>
  <c r="D26" i="2"/>
  <c r="E26" i="2"/>
  <c r="B27" i="2"/>
  <c r="C27" i="2"/>
  <c r="D27" i="2"/>
  <c r="E27" i="2"/>
  <c r="B28" i="2"/>
  <c r="C28" i="2"/>
  <c r="D28" i="2"/>
  <c r="E28" i="2"/>
  <c r="B29" i="2"/>
  <c r="C29" i="2"/>
  <c r="D29" i="2"/>
  <c r="E29" i="2"/>
  <c r="B30" i="2"/>
  <c r="C30" i="2"/>
  <c r="D30" i="2"/>
  <c r="E30" i="2"/>
  <c r="B31" i="2"/>
  <c r="C31" i="2"/>
  <c r="D31" i="2"/>
  <c r="E31" i="2"/>
  <c r="B32" i="2"/>
  <c r="C32" i="2"/>
  <c r="D32" i="2"/>
  <c r="E32" i="2"/>
  <c r="B33" i="2"/>
  <c r="C33" i="2"/>
  <c r="D33" i="2"/>
  <c r="E33" i="2"/>
  <c r="B34" i="2"/>
  <c r="C34" i="2"/>
  <c r="D34" i="2"/>
  <c r="E34" i="2"/>
  <c r="B35" i="2"/>
  <c r="C35" i="2"/>
  <c r="D35" i="2"/>
  <c r="E35" i="2"/>
  <c r="B36" i="2"/>
  <c r="C36" i="2"/>
  <c r="D36" i="2"/>
  <c r="E36" i="2"/>
  <c r="B37" i="2"/>
  <c r="C37" i="2"/>
  <c r="D37" i="2"/>
  <c r="E37" i="2"/>
  <c r="B38" i="2"/>
  <c r="C38" i="2"/>
  <c r="D38" i="2"/>
  <c r="E38" i="2"/>
  <c r="B39" i="2"/>
  <c r="C39" i="2"/>
  <c r="D39" i="2"/>
  <c r="E39" i="2"/>
  <c r="B40" i="2"/>
  <c r="C40" i="2"/>
  <c r="D40" i="2"/>
  <c r="E40" i="2"/>
  <c r="B41" i="2"/>
  <c r="C41" i="2"/>
  <c r="D41" i="2"/>
  <c r="E41" i="2"/>
  <c r="B42" i="2"/>
  <c r="C42" i="2"/>
  <c r="D42" i="2"/>
  <c r="E42" i="2"/>
  <c r="B43" i="2"/>
  <c r="C43" i="2"/>
  <c r="D43" i="2"/>
  <c r="E43" i="2"/>
  <c r="B44" i="2"/>
  <c r="C44" i="2"/>
  <c r="D44" i="2"/>
  <c r="E44" i="2"/>
  <c r="B45" i="2"/>
  <c r="C45" i="2"/>
  <c r="D45" i="2"/>
  <c r="E45" i="2"/>
  <c r="B46" i="2"/>
  <c r="C46" i="2"/>
  <c r="D46" i="2"/>
  <c r="E46" i="2"/>
  <c r="B47" i="2"/>
  <c r="C47" i="2"/>
  <c r="D47" i="2"/>
  <c r="E47" i="2"/>
  <c r="B48" i="2"/>
  <c r="C48" i="2"/>
  <c r="D48" i="2"/>
  <c r="E48" i="2"/>
  <c r="B49" i="2"/>
  <c r="C49" i="2"/>
  <c r="D49" i="2"/>
  <c r="E49" i="2"/>
  <c r="B50" i="2"/>
  <c r="C50" i="2"/>
  <c r="D50" i="2"/>
  <c r="E50" i="2"/>
  <c r="B51" i="2"/>
  <c r="C51" i="2"/>
  <c r="D51" i="2"/>
  <c r="E51" i="2"/>
  <c r="B52" i="2"/>
  <c r="C52" i="2"/>
  <c r="D52" i="2"/>
  <c r="E52" i="2"/>
  <c r="B53" i="2"/>
  <c r="C53" i="2"/>
  <c r="D53" i="2"/>
  <c r="E53" i="2"/>
  <c r="B54" i="2"/>
  <c r="C54" i="2"/>
  <c r="D54" i="2"/>
  <c r="E54" i="2"/>
  <c r="B55" i="2"/>
  <c r="C55" i="2"/>
  <c r="D55" i="2"/>
  <c r="E55" i="2"/>
  <c r="B56" i="2"/>
  <c r="C56" i="2"/>
  <c r="D56" i="2"/>
  <c r="E56" i="2"/>
  <c r="B57" i="2"/>
  <c r="C57" i="2"/>
  <c r="D57" i="2"/>
  <c r="E57" i="2"/>
  <c r="B58" i="2"/>
  <c r="C58" i="2"/>
  <c r="D58" i="2"/>
  <c r="E58" i="2"/>
  <c r="B59" i="2"/>
  <c r="C59" i="2"/>
  <c r="D59" i="2"/>
  <c r="E59" i="2"/>
  <c r="B60" i="2"/>
  <c r="C60" i="2"/>
  <c r="D60" i="2"/>
  <c r="E60" i="2"/>
  <c r="B61" i="2"/>
  <c r="C61" i="2"/>
  <c r="D61" i="2"/>
  <c r="E61" i="2"/>
  <c r="B62" i="2"/>
  <c r="C62" i="2"/>
  <c r="D62" i="2"/>
  <c r="E62" i="2"/>
  <c r="B63" i="2"/>
  <c r="C63" i="2"/>
  <c r="D63" i="2"/>
  <c r="E63" i="2"/>
  <c r="B64" i="2"/>
  <c r="C64" i="2"/>
  <c r="D64" i="2"/>
  <c r="E64" i="2"/>
  <c r="B65" i="2"/>
  <c r="C65" i="2"/>
  <c r="D65" i="2"/>
  <c r="E65" i="2"/>
  <c r="B66" i="2"/>
  <c r="C66" i="2"/>
  <c r="D66" i="2"/>
  <c r="E66" i="2"/>
  <c r="B67" i="2"/>
  <c r="C67" i="2"/>
  <c r="D67" i="2"/>
  <c r="E67" i="2"/>
  <c r="B68" i="2"/>
  <c r="C68" i="2"/>
  <c r="D68" i="2"/>
  <c r="E68" i="2"/>
  <c r="B69" i="2"/>
  <c r="C69" i="2"/>
  <c r="D69" i="2"/>
  <c r="E69" i="2"/>
  <c r="E2" i="2"/>
  <c r="AJ138" i="1"/>
  <c r="AI40" i="1"/>
  <c r="AI39" i="1"/>
  <c r="AI38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H40" i="1"/>
  <c r="AH39" i="1"/>
  <c r="AH38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AH2" i="1"/>
  <c r="AG138" i="1"/>
  <c r="AE40" i="1"/>
  <c r="AJ40" i="1" s="1"/>
  <c r="AE39" i="1"/>
  <c r="AJ39" i="1" s="1"/>
  <c r="AE38" i="1"/>
  <c r="AJ38" i="1" s="1"/>
  <c r="AE36" i="1"/>
  <c r="AJ36" i="1" s="1"/>
  <c r="AE35" i="1"/>
  <c r="AJ35" i="1" s="1"/>
  <c r="AE34" i="1"/>
  <c r="AJ34" i="1" s="1"/>
  <c r="AE33" i="1"/>
  <c r="AJ33" i="1" s="1"/>
  <c r="AE32" i="1"/>
  <c r="AJ32" i="1" s="1"/>
  <c r="AE31" i="1"/>
  <c r="AJ31" i="1" s="1"/>
  <c r="AE30" i="1"/>
  <c r="AJ30" i="1" s="1"/>
  <c r="AE29" i="1"/>
  <c r="AJ29" i="1" s="1"/>
  <c r="AE28" i="1"/>
  <c r="AJ28" i="1" s="1"/>
  <c r="AE27" i="1"/>
  <c r="AJ27" i="1" s="1"/>
  <c r="AE26" i="1"/>
  <c r="AJ26" i="1" s="1"/>
  <c r="AE25" i="1"/>
  <c r="AJ25" i="1" s="1"/>
  <c r="AE24" i="1"/>
  <c r="AJ24" i="1" s="1"/>
  <c r="AE23" i="1"/>
  <c r="AJ23" i="1" s="1"/>
  <c r="AE22" i="1"/>
  <c r="AJ22" i="1" s="1"/>
  <c r="AE21" i="1"/>
  <c r="AJ21" i="1" s="1"/>
  <c r="AE20" i="1"/>
  <c r="AJ20" i="1" s="1"/>
  <c r="AE19" i="1"/>
  <c r="AJ19" i="1" s="1"/>
  <c r="AE18" i="1"/>
  <c r="AJ18" i="1" s="1"/>
  <c r="AE17" i="1"/>
  <c r="AJ17" i="1" s="1"/>
  <c r="AE16" i="1"/>
  <c r="AJ16" i="1" s="1"/>
  <c r="AE15" i="1"/>
  <c r="AJ15" i="1" s="1"/>
  <c r="AE14" i="1"/>
  <c r="AJ14" i="1" s="1"/>
  <c r="AE13" i="1"/>
  <c r="AJ13" i="1" s="1"/>
  <c r="AE12" i="1"/>
  <c r="AJ12" i="1" s="1"/>
  <c r="AE11" i="1"/>
  <c r="AJ11" i="1" s="1"/>
  <c r="AE10" i="1"/>
  <c r="AJ10" i="1" s="1"/>
  <c r="AE9" i="1"/>
  <c r="AJ9" i="1" s="1"/>
  <c r="AE8" i="1"/>
  <c r="AJ8" i="1" s="1"/>
  <c r="AE7" i="1"/>
  <c r="AJ7" i="1" s="1"/>
  <c r="AE6" i="1"/>
  <c r="AJ6" i="1" s="1"/>
  <c r="AE5" i="1"/>
  <c r="AJ5" i="1" s="1"/>
  <c r="AE4" i="1"/>
  <c r="AJ4" i="1" s="1"/>
  <c r="AE3" i="1"/>
  <c r="AJ3" i="1" s="1"/>
  <c r="AE2" i="1"/>
  <c r="AJ2" i="1" s="1"/>
  <c r="E2" i="3"/>
  <c r="D2" i="3"/>
  <c r="C2" i="3"/>
  <c r="B2" i="3"/>
  <c r="A2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A1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B2" i="2"/>
  <c r="C2" i="2"/>
  <c r="D2" i="2"/>
  <c r="A2" i="2"/>
  <c r="P137" i="1"/>
  <c r="Q137" i="1"/>
  <c r="R137" i="1"/>
  <c r="S137" i="1"/>
  <c r="U137" i="1"/>
  <c r="V137" i="1"/>
  <c r="X137" i="1"/>
  <c r="AI137" i="1"/>
  <c r="Z137" i="1"/>
  <c r="AA137" i="1"/>
  <c r="A3" i="3" l="1"/>
  <c r="A5" i="1"/>
  <c r="A6" i="1" s="1"/>
  <c r="A4" i="3"/>
  <c r="A4" i="2"/>
  <c r="M4" i="3" s="1"/>
  <c r="AF137" i="1"/>
  <c r="AG137" i="1" s="1"/>
  <c r="AE137" i="1"/>
  <c r="AJ137" i="1" s="1"/>
  <c r="N3" i="3"/>
  <c r="O3" i="3"/>
  <c r="P3" i="3"/>
  <c r="F3" i="3"/>
  <c r="L3" i="3"/>
  <c r="M3" i="3"/>
  <c r="J68" i="2"/>
  <c r="J67" i="2" s="1"/>
  <c r="J66" i="2" s="1"/>
  <c r="J65" i="2" s="1"/>
  <c r="J64" i="2" s="1"/>
  <c r="J63" i="2" s="1"/>
  <c r="J62" i="2" s="1"/>
  <c r="J61" i="2" s="1"/>
  <c r="J60" i="2" s="1"/>
  <c r="J59" i="2" s="1"/>
  <c r="J58" i="2" s="1"/>
  <c r="J57" i="2" s="1"/>
  <c r="J56" i="2" s="1"/>
  <c r="J55" i="2" s="1"/>
  <c r="J54" i="2" s="1"/>
  <c r="J53" i="2" s="1"/>
  <c r="J52" i="2" s="1"/>
  <c r="J51" i="2" s="1"/>
  <c r="J50" i="2" s="1"/>
  <c r="J49" i="2" s="1"/>
  <c r="J48" i="2" s="1"/>
  <c r="J47" i="2" s="1"/>
  <c r="J46" i="2" s="1"/>
  <c r="J45" i="2" s="1"/>
  <c r="J44" i="2" s="1"/>
  <c r="J43" i="2" s="1"/>
  <c r="J42" i="2" s="1"/>
  <c r="J41" i="2" s="1"/>
  <c r="J40" i="2" s="1"/>
  <c r="J39" i="2" s="1"/>
  <c r="J38" i="2" s="1"/>
  <c r="J37" i="2" s="1"/>
  <c r="J36" i="2" s="1"/>
  <c r="J35" i="2" s="1"/>
  <c r="J34" i="2" s="1"/>
  <c r="J33" i="2" s="1"/>
  <c r="J32" i="2" s="1"/>
  <c r="J31" i="2" s="1"/>
  <c r="J30" i="2" s="1"/>
  <c r="J29" i="2" s="1"/>
  <c r="J28" i="2" s="1"/>
  <c r="J27" i="2" s="1"/>
  <c r="J26" i="2" s="1"/>
  <c r="J25" i="2" s="1"/>
  <c r="J24" i="2" s="1"/>
  <c r="J23" i="2" s="1"/>
  <c r="J22" i="2" s="1"/>
  <c r="J21" i="2" s="1"/>
  <c r="J20" i="2" s="1"/>
  <c r="J19" i="2" s="1"/>
  <c r="J18" i="2" s="1"/>
  <c r="J17" i="2" s="1"/>
  <c r="J16" i="2" s="1"/>
  <c r="J15" i="2" s="1"/>
  <c r="J14" i="2" s="1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J3" i="3" s="1"/>
  <c r="I68" i="2"/>
  <c r="I67" i="2" s="1"/>
  <c r="I66" i="2" s="1"/>
  <c r="I65" i="2" s="1"/>
  <c r="I64" i="2" s="1"/>
  <c r="I63" i="2" s="1"/>
  <c r="I62" i="2" s="1"/>
  <c r="I61" i="2" s="1"/>
  <c r="I60" i="2" s="1"/>
  <c r="I59" i="2" s="1"/>
  <c r="I58" i="2" s="1"/>
  <c r="I57" i="2" s="1"/>
  <c r="I56" i="2" s="1"/>
  <c r="I55" i="2" s="1"/>
  <c r="I54" i="2" s="1"/>
  <c r="I53" i="2" s="1"/>
  <c r="I52" i="2" s="1"/>
  <c r="I51" i="2" s="1"/>
  <c r="I50" i="2" s="1"/>
  <c r="I49" i="2" s="1"/>
  <c r="I48" i="2" s="1"/>
  <c r="I47" i="2" s="1"/>
  <c r="I46" i="2" s="1"/>
  <c r="I45" i="2" s="1"/>
  <c r="I44" i="2" s="1"/>
  <c r="I43" i="2" s="1"/>
  <c r="I42" i="2" s="1"/>
  <c r="I41" i="2" s="1"/>
  <c r="I40" i="2" s="1"/>
  <c r="I39" i="2" s="1"/>
  <c r="I38" i="2" s="1"/>
  <c r="I37" i="2" s="1"/>
  <c r="I36" i="2" s="1"/>
  <c r="I35" i="2" s="1"/>
  <c r="I34" i="2" s="1"/>
  <c r="I33" i="2" s="1"/>
  <c r="I32" i="2" s="1"/>
  <c r="I31" i="2" s="1"/>
  <c r="I30" i="2" s="1"/>
  <c r="I29" i="2" s="1"/>
  <c r="I28" i="2" s="1"/>
  <c r="I27" i="2" s="1"/>
  <c r="I26" i="2" s="1"/>
  <c r="I25" i="2" s="1"/>
  <c r="I24" i="2" s="1"/>
  <c r="I23" i="2" s="1"/>
  <c r="I22" i="2" s="1"/>
  <c r="I21" i="2" s="1"/>
  <c r="I20" i="2" s="1"/>
  <c r="I19" i="2" s="1"/>
  <c r="I18" i="2" s="1"/>
  <c r="I17" i="2" s="1"/>
  <c r="I16" i="2" s="1"/>
  <c r="I15" i="2" s="1"/>
  <c r="I14" i="2" s="1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I3" i="3" s="1"/>
  <c r="K68" i="2"/>
  <c r="K67" i="2" s="1"/>
  <c r="K66" i="2" s="1"/>
  <c r="K65" i="2" s="1"/>
  <c r="K64" i="2" s="1"/>
  <c r="K63" i="2" s="1"/>
  <c r="K62" i="2" s="1"/>
  <c r="K61" i="2" s="1"/>
  <c r="K60" i="2" s="1"/>
  <c r="K59" i="2" s="1"/>
  <c r="K58" i="2" s="1"/>
  <c r="K57" i="2" s="1"/>
  <c r="K56" i="2" s="1"/>
  <c r="K55" i="2" s="1"/>
  <c r="K54" i="2" s="1"/>
  <c r="K53" i="2" s="1"/>
  <c r="K52" i="2" s="1"/>
  <c r="K51" i="2" s="1"/>
  <c r="K50" i="2" s="1"/>
  <c r="K49" i="2" s="1"/>
  <c r="K48" i="2" s="1"/>
  <c r="K47" i="2" s="1"/>
  <c r="K46" i="2" s="1"/>
  <c r="K45" i="2" s="1"/>
  <c r="K44" i="2" s="1"/>
  <c r="K43" i="2" s="1"/>
  <c r="K42" i="2" s="1"/>
  <c r="K41" i="2" s="1"/>
  <c r="K40" i="2" s="1"/>
  <c r="K39" i="2" s="1"/>
  <c r="K38" i="2" s="1"/>
  <c r="K37" i="2" s="1"/>
  <c r="K36" i="2" s="1"/>
  <c r="K35" i="2" s="1"/>
  <c r="K34" i="2" s="1"/>
  <c r="K33" i="2" s="1"/>
  <c r="K32" i="2" s="1"/>
  <c r="K31" i="2" s="1"/>
  <c r="K30" i="2" s="1"/>
  <c r="K29" i="2" s="1"/>
  <c r="K28" i="2" s="1"/>
  <c r="K27" i="2" s="1"/>
  <c r="K26" i="2" s="1"/>
  <c r="K25" i="2" s="1"/>
  <c r="K24" i="2" s="1"/>
  <c r="K23" i="2" s="1"/>
  <c r="K22" i="2" s="1"/>
  <c r="K21" i="2" s="1"/>
  <c r="K20" i="2" s="1"/>
  <c r="K19" i="2" s="1"/>
  <c r="K18" i="2" s="1"/>
  <c r="K17" i="2" s="1"/>
  <c r="K16" i="2" s="1"/>
  <c r="K15" i="2" s="1"/>
  <c r="K14" i="2" s="1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K3" i="3" s="1"/>
  <c r="Q68" i="2"/>
  <c r="Q67" i="2" s="1"/>
  <c r="Q66" i="2" s="1"/>
  <c r="Q65" i="2" s="1"/>
  <c r="Q64" i="2" s="1"/>
  <c r="Q63" i="2" s="1"/>
  <c r="Q62" i="2" s="1"/>
  <c r="Q61" i="2" s="1"/>
  <c r="Q60" i="2" s="1"/>
  <c r="Q59" i="2" s="1"/>
  <c r="Q58" i="2" s="1"/>
  <c r="Q57" i="2" s="1"/>
  <c r="Q56" i="2" s="1"/>
  <c r="Q55" i="2" s="1"/>
  <c r="Q54" i="2" s="1"/>
  <c r="Q53" i="2" s="1"/>
  <c r="Q52" i="2" s="1"/>
  <c r="Q51" i="2" s="1"/>
  <c r="Q50" i="2" s="1"/>
  <c r="Q49" i="2" s="1"/>
  <c r="Q48" i="2" s="1"/>
  <c r="Q47" i="2" s="1"/>
  <c r="Q46" i="2" s="1"/>
  <c r="Q45" i="2" s="1"/>
  <c r="Q44" i="2" s="1"/>
  <c r="Q43" i="2" s="1"/>
  <c r="Q42" i="2" s="1"/>
  <c r="Q41" i="2" s="1"/>
  <c r="Q40" i="2" s="1"/>
  <c r="Q39" i="2" s="1"/>
  <c r="Q38" i="2" s="1"/>
  <c r="Q37" i="2" s="1"/>
  <c r="Q36" i="2" s="1"/>
  <c r="Q35" i="2" s="1"/>
  <c r="Q34" i="2" s="1"/>
  <c r="Q33" i="2" s="1"/>
  <c r="Q32" i="2" s="1"/>
  <c r="Q31" i="2" s="1"/>
  <c r="Q30" i="2" s="1"/>
  <c r="Q29" i="2" s="1"/>
  <c r="Q28" i="2" s="1"/>
  <c r="Q27" i="2" s="1"/>
  <c r="Q26" i="2" s="1"/>
  <c r="Q25" i="2" s="1"/>
  <c r="Q24" i="2" s="1"/>
  <c r="Q23" i="2" s="1"/>
  <c r="Q22" i="2" s="1"/>
  <c r="Q21" i="2" s="1"/>
  <c r="Q20" i="2" s="1"/>
  <c r="Q19" i="2" s="1"/>
  <c r="Q18" i="2" s="1"/>
  <c r="Q17" i="2" s="1"/>
  <c r="Q16" i="2" s="1"/>
  <c r="Q15" i="2" s="1"/>
  <c r="Q14" i="2" s="1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Q3" i="3" s="1"/>
  <c r="G68" i="2"/>
  <c r="G67" i="2" s="1"/>
  <c r="G66" i="2" s="1"/>
  <c r="G65" i="2" s="1"/>
  <c r="G64" i="2" s="1"/>
  <c r="G63" i="2" s="1"/>
  <c r="G62" i="2" s="1"/>
  <c r="G61" i="2" s="1"/>
  <c r="G60" i="2" s="1"/>
  <c r="G59" i="2" s="1"/>
  <c r="G58" i="2" s="1"/>
  <c r="G57" i="2" s="1"/>
  <c r="G56" i="2" s="1"/>
  <c r="G55" i="2" s="1"/>
  <c r="G54" i="2" s="1"/>
  <c r="G53" i="2" s="1"/>
  <c r="G52" i="2" s="1"/>
  <c r="G51" i="2" s="1"/>
  <c r="G50" i="2" s="1"/>
  <c r="G49" i="2" s="1"/>
  <c r="G48" i="2" s="1"/>
  <c r="G47" i="2" s="1"/>
  <c r="G46" i="2" s="1"/>
  <c r="G45" i="2" s="1"/>
  <c r="G44" i="2" s="1"/>
  <c r="G43" i="2" s="1"/>
  <c r="G42" i="2" s="1"/>
  <c r="G41" i="2" s="1"/>
  <c r="G40" i="2" s="1"/>
  <c r="G39" i="2" s="1"/>
  <c r="G38" i="2" s="1"/>
  <c r="G37" i="2" s="1"/>
  <c r="G36" i="2" s="1"/>
  <c r="G35" i="2" s="1"/>
  <c r="G34" i="2" s="1"/>
  <c r="G33" i="2" s="1"/>
  <c r="G32" i="2" s="1"/>
  <c r="G31" i="2" s="1"/>
  <c r="G30" i="2" s="1"/>
  <c r="G29" i="2" s="1"/>
  <c r="G28" i="2" s="1"/>
  <c r="G27" i="2" s="1"/>
  <c r="G26" i="2" s="1"/>
  <c r="G25" i="2" s="1"/>
  <c r="G24" i="2" s="1"/>
  <c r="G23" i="2" s="1"/>
  <c r="G22" i="2" s="1"/>
  <c r="G21" i="2" s="1"/>
  <c r="G20" i="2" s="1"/>
  <c r="G19" i="2" s="1"/>
  <c r="G18" i="2" s="1"/>
  <c r="G17" i="2" s="1"/>
  <c r="G16" i="2" s="1"/>
  <c r="G15" i="2" s="1"/>
  <c r="G14" i="2" s="1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G3" i="3" s="1"/>
  <c r="H68" i="2"/>
  <c r="H67" i="2" s="1"/>
  <c r="H66" i="2" s="1"/>
  <c r="H65" i="2" s="1"/>
  <c r="H64" i="2" s="1"/>
  <c r="H63" i="2" s="1"/>
  <c r="H62" i="2" s="1"/>
  <c r="H61" i="2" s="1"/>
  <c r="H60" i="2" s="1"/>
  <c r="H59" i="2" s="1"/>
  <c r="H58" i="2" s="1"/>
  <c r="H57" i="2" s="1"/>
  <c r="H56" i="2" s="1"/>
  <c r="H55" i="2" s="1"/>
  <c r="H54" i="2" s="1"/>
  <c r="H53" i="2" s="1"/>
  <c r="H52" i="2" s="1"/>
  <c r="H51" i="2" s="1"/>
  <c r="H50" i="2" s="1"/>
  <c r="H49" i="2" s="1"/>
  <c r="H48" i="2" s="1"/>
  <c r="H47" i="2" s="1"/>
  <c r="H46" i="2" s="1"/>
  <c r="H45" i="2" s="1"/>
  <c r="H44" i="2" s="1"/>
  <c r="H43" i="2" s="1"/>
  <c r="H42" i="2" s="1"/>
  <c r="H41" i="2" s="1"/>
  <c r="H40" i="2" s="1"/>
  <c r="H39" i="2" s="1"/>
  <c r="H38" i="2" s="1"/>
  <c r="H37" i="2" s="1"/>
  <c r="H36" i="2" s="1"/>
  <c r="H35" i="2" s="1"/>
  <c r="H34" i="2" s="1"/>
  <c r="H33" i="2" s="1"/>
  <c r="H32" i="2" s="1"/>
  <c r="H31" i="2" s="1"/>
  <c r="H30" i="2" s="1"/>
  <c r="H29" i="2" s="1"/>
  <c r="H28" i="2" s="1"/>
  <c r="H27" i="2" s="1"/>
  <c r="H26" i="2" s="1"/>
  <c r="H25" i="2" s="1"/>
  <c r="H24" i="2" s="1"/>
  <c r="H23" i="2" s="1"/>
  <c r="H22" i="2" s="1"/>
  <c r="H21" i="2" s="1"/>
  <c r="H20" i="2" s="1"/>
  <c r="H19" i="2" s="1"/>
  <c r="H18" i="2" s="1"/>
  <c r="H17" i="2" s="1"/>
  <c r="H16" i="2" s="1"/>
  <c r="H15" i="2" s="1"/>
  <c r="H14" i="2" s="1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H3" i="3" s="1"/>
  <c r="A5" i="2" l="1"/>
  <c r="P5" i="3" s="1"/>
  <c r="A5" i="3"/>
  <c r="L4" i="3"/>
  <c r="F4" i="3"/>
  <c r="P4" i="3"/>
  <c r="O4" i="3"/>
  <c r="N4" i="3"/>
  <c r="A6" i="2"/>
  <c r="J6" i="3" s="1"/>
  <c r="A7" i="1"/>
  <c r="A6" i="3"/>
  <c r="I4" i="3"/>
  <c r="J4" i="3"/>
  <c r="Q4" i="3"/>
  <c r="G4" i="3"/>
  <c r="H4" i="3"/>
  <c r="K4" i="3"/>
  <c r="K2" i="2"/>
  <c r="K2" i="3" s="1"/>
  <c r="J2" i="2"/>
  <c r="J2" i="3" s="1"/>
  <c r="H5" i="3" l="1"/>
  <c r="F5" i="3"/>
  <c r="I5" i="3"/>
  <c r="Q5" i="3"/>
  <c r="O5" i="3"/>
  <c r="N5" i="3"/>
  <c r="G5" i="3"/>
  <c r="L5" i="3"/>
  <c r="J5" i="3"/>
  <c r="M5" i="3"/>
  <c r="K5" i="3"/>
  <c r="G6" i="3"/>
  <c r="H6" i="3"/>
  <c r="Q6" i="3"/>
  <c r="K6" i="3"/>
  <c r="A7" i="3"/>
  <c r="A7" i="2"/>
  <c r="A8" i="1"/>
  <c r="P6" i="3"/>
  <c r="M6" i="3"/>
  <c r="O6" i="3"/>
  <c r="F6" i="3"/>
  <c r="N6" i="3"/>
  <c r="L6" i="3"/>
  <c r="I6" i="3"/>
  <c r="O2" i="2"/>
  <c r="O2" i="3" s="1"/>
  <c r="P2" i="2"/>
  <c r="P2" i="3" s="1"/>
  <c r="N2" i="2"/>
  <c r="N2" i="3" s="1"/>
  <c r="F2" i="2"/>
  <c r="F2" i="3" s="1"/>
  <c r="A8" i="2" l="1"/>
  <c r="A9" i="1"/>
  <c r="A8" i="3"/>
  <c r="L7" i="3"/>
  <c r="F7" i="3"/>
  <c r="P7" i="3"/>
  <c r="M7" i="3"/>
  <c r="N7" i="3"/>
  <c r="O7" i="3"/>
  <c r="Q7" i="3"/>
  <c r="G7" i="3"/>
  <c r="I7" i="3"/>
  <c r="J7" i="3"/>
  <c r="H7" i="3"/>
  <c r="K7" i="3"/>
  <c r="I2" i="2"/>
  <c r="I2" i="3" s="1"/>
  <c r="H2" i="2"/>
  <c r="H2" i="3" s="1"/>
  <c r="Q2" i="2"/>
  <c r="Q2" i="3" s="1"/>
  <c r="G2" i="2"/>
  <c r="G2" i="3" s="1"/>
  <c r="M2" i="2"/>
  <c r="M2" i="3" s="1"/>
  <c r="L2" i="2"/>
  <c r="L2" i="3" s="1"/>
  <c r="A9" i="3" l="1"/>
  <c r="A10" i="1"/>
  <c r="A9" i="2"/>
  <c r="L8" i="3"/>
  <c r="F8" i="3"/>
  <c r="M8" i="3"/>
  <c r="P8" i="3"/>
  <c r="O8" i="3"/>
  <c r="N8" i="3"/>
  <c r="H8" i="3"/>
  <c r="I8" i="3"/>
  <c r="G8" i="3"/>
  <c r="Q8" i="3"/>
  <c r="J8" i="3"/>
  <c r="K8" i="3"/>
  <c r="P9" i="3" l="1"/>
  <c r="L9" i="3"/>
  <c r="F9" i="3"/>
  <c r="O9" i="3"/>
  <c r="M9" i="3"/>
  <c r="N9" i="3"/>
  <c r="K9" i="3"/>
  <c r="H9" i="3"/>
  <c r="Q9" i="3"/>
  <c r="J9" i="3"/>
  <c r="I9" i="3"/>
  <c r="G9" i="3"/>
  <c r="A10" i="2"/>
  <c r="A11" i="1"/>
  <c r="A10" i="3"/>
  <c r="A11" i="3" l="1"/>
  <c r="A12" i="1"/>
  <c r="A11" i="2"/>
  <c r="L10" i="3"/>
  <c r="O10" i="3"/>
  <c r="F10" i="3"/>
  <c r="P10" i="3"/>
  <c r="M10" i="3"/>
  <c r="N10" i="3"/>
  <c r="G10" i="3"/>
  <c r="J10" i="3"/>
  <c r="Q10" i="3"/>
  <c r="I10" i="3"/>
  <c r="H10" i="3"/>
  <c r="K10" i="3"/>
  <c r="P11" i="3" l="1"/>
  <c r="O11" i="3"/>
  <c r="L11" i="3"/>
  <c r="N11" i="3"/>
  <c r="F11" i="3"/>
  <c r="M11" i="3"/>
  <c r="H11" i="3"/>
  <c r="J11" i="3"/>
  <c r="K11" i="3"/>
  <c r="I11" i="3"/>
  <c r="G11" i="3"/>
  <c r="Q11" i="3"/>
  <c r="A12" i="2"/>
  <c r="A13" i="1"/>
  <c r="A12" i="3"/>
  <c r="A14" i="1" l="1"/>
  <c r="A13" i="3"/>
  <c r="A13" i="2"/>
  <c r="O12" i="3"/>
  <c r="N12" i="3"/>
  <c r="M12" i="3"/>
  <c r="P12" i="3"/>
  <c r="F12" i="3"/>
  <c r="L12" i="3"/>
  <c r="G12" i="3"/>
  <c r="K12" i="3"/>
  <c r="J12" i="3"/>
  <c r="Q12" i="3"/>
  <c r="H12" i="3"/>
  <c r="I12" i="3"/>
  <c r="O13" i="3" l="1"/>
  <c r="F13" i="3"/>
  <c r="L13" i="3"/>
  <c r="P13" i="3"/>
  <c r="M13" i="3"/>
  <c r="N13" i="3"/>
  <c r="H13" i="3"/>
  <c r="G13" i="3"/>
  <c r="J13" i="3"/>
  <c r="Q13" i="3"/>
  <c r="K13" i="3"/>
  <c r="I13" i="3"/>
  <c r="A15" i="1"/>
  <c r="A14" i="2"/>
  <c r="A14" i="3"/>
  <c r="O14" i="3" l="1"/>
  <c r="F14" i="3"/>
  <c r="N14" i="3"/>
  <c r="M14" i="3"/>
  <c r="L14" i="3"/>
  <c r="P14" i="3"/>
  <c r="Q14" i="3"/>
  <c r="H14" i="3"/>
  <c r="I14" i="3"/>
  <c r="G14" i="3"/>
  <c r="J14" i="3"/>
  <c r="K14" i="3"/>
  <c r="A16" i="1"/>
  <c r="A15" i="3"/>
  <c r="A15" i="2"/>
  <c r="M15" i="3" l="1"/>
  <c r="P15" i="3"/>
  <c r="L15" i="3"/>
  <c r="F15" i="3"/>
  <c r="N15" i="3"/>
  <c r="O15" i="3"/>
  <c r="H15" i="3"/>
  <c r="K15" i="3"/>
  <c r="J15" i="3"/>
  <c r="G15" i="3"/>
  <c r="Q15" i="3"/>
  <c r="I15" i="3"/>
  <c r="A16" i="2"/>
  <c r="A17" i="1"/>
  <c r="A16" i="3"/>
  <c r="A18" i="1" l="1"/>
  <c r="A17" i="3"/>
  <c r="A17" i="2"/>
  <c r="M16" i="3"/>
  <c r="N16" i="3"/>
  <c r="F16" i="3"/>
  <c r="L16" i="3"/>
  <c r="P16" i="3"/>
  <c r="O16" i="3"/>
  <c r="J16" i="3"/>
  <c r="G16" i="3"/>
  <c r="Q16" i="3"/>
  <c r="H16" i="3"/>
  <c r="K16" i="3"/>
  <c r="I16" i="3"/>
  <c r="L17" i="3" l="1"/>
  <c r="F17" i="3"/>
  <c r="N17" i="3"/>
  <c r="P17" i="3"/>
  <c r="M17" i="3"/>
  <c r="O17" i="3"/>
  <c r="Q17" i="3"/>
  <c r="I17" i="3"/>
  <c r="K17" i="3"/>
  <c r="G17" i="3"/>
  <c r="J17" i="3"/>
  <c r="H17" i="3"/>
  <c r="A18" i="2"/>
  <c r="A18" i="3"/>
  <c r="A19" i="1"/>
  <c r="A19" i="3" l="1"/>
  <c r="A20" i="1"/>
  <c r="A19" i="2"/>
  <c r="O18" i="3"/>
  <c r="P18" i="3"/>
  <c r="M18" i="3"/>
  <c r="F18" i="3"/>
  <c r="L18" i="3"/>
  <c r="N18" i="3"/>
  <c r="J18" i="3"/>
  <c r="H18" i="3"/>
  <c r="I18" i="3"/>
  <c r="G18" i="3"/>
  <c r="K18" i="3"/>
  <c r="Q18" i="3"/>
  <c r="N19" i="3" l="1"/>
  <c r="F19" i="3"/>
  <c r="M19" i="3"/>
  <c r="P19" i="3"/>
  <c r="L19" i="3"/>
  <c r="O19" i="3"/>
  <c r="J19" i="3"/>
  <c r="Q19" i="3"/>
  <c r="G19" i="3"/>
  <c r="I19" i="3"/>
  <c r="K19" i="3"/>
  <c r="H19" i="3"/>
  <c r="A20" i="2"/>
  <c r="A21" i="1"/>
  <c r="A20" i="3"/>
  <c r="P20" i="3" l="1"/>
  <c r="M20" i="3"/>
  <c r="L20" i="3"/>
  <c r="O20" i="3"/>
  <c r="F20" i="3"/>
  <c r="N20" i="3"/>
  <c r="K20" i="3"/>
  <c r="J20" i="3"/>
  <c r="H20" i="3"/>
  <c r="Q20" i="3"/>
  <c r="I20" i="3"/>
  <c r="G20" i="3"/>
  <c r="A21" i="3"/>
  <c r="A21" i="2"/>
  <c r="A22" i="1"/>
  <c r="A22" i="2" l="1"/>
  <c r="A23" i="1"/>
  <c r="A22" i="3"/>
  <c r="O21" i="3"/>
  <c r="N21" i="3"/>
  <c r="F21" i="3"/>
  <c r="P21" i="3"/>
  <c r="L21" i="3"/>
  <c r="M21" i="3"/>
  <c r="H21" i="3"/>
  <c r="K21" i="3"/>
  <c r="J21" i="3"/>
  <c r="I21" i="3"/>
  <c r="G21" i="3"/>
  <c r="Q21" i="3"/>
  <c r="A24" i="1" l="1"/>
  <c r="A23" i="3"/>
  <c r="A23" i="2"/>
  <c r="P22" i="3"/>
  <c r="M22" i="3"/>
  <c r="O22" i="3"/>
  <c r="N22" i="3"/>
  <c r="L22" i="3"/>
  <c r="F22" i="3"/>
  <c r="G22" i="3"/>
  <c r="Q22" i="3"/>
  <c r="I22" i="3"/>
  <c r="H22" i="3"/>
  <c r="K22" i="3"/>
  <c r="J22" i="3"/>
  <c r="N23" i="3" l="1"/>
  <c r="F23" i="3"/>
  <c r="O23" i="3"/>
  <c r="L23" i="3"/>
  <c r="P23" i="3"/>
  <c r="M23" i="3"/>
  <c r="Q23" i="3"/>
  <c r="J23" i="3"/>
  <c r="K23" i="3"/>
  <c r="I23" i="3"/>
  <c r="H23" i="3"/>
  <c r="G23" i="3"/>
  <c r="A25" i="1"/>
  <c r="A24" i="2"/>
  <c r="A24" i="3"/>
  <c r="O24" i="3" l="1"/>
  <c r="N24" i="3"/>
  <c r="M24" i="3"/>
  <c r="L24" i="3"/>
  <c r="F24" i="3"/>
  <c r="P24" i="3"/>
  <c r="J24" i="3"/>
  <c r="I24" i="3"/>
  <c r="Q24" i="3"/>
  <c r="H24" i="3"/>
  <c r="K24" i="3"/>
  <c r="G24" i="3"/>
  <c r="A26" i="1"/>
  <c r="A25" i="3"/>
  <c r="A25" i="2"/>
  <c r="L25" i="3" l="1"/>
  <c r="O25" i="3"/>
  <c r="N25" i="3"/>
  <c r="P25" i="3"/>
  <c r="M25" i="3"/>
  <c r="F25" i="3"/>
  <c r="H25" i="3"/>
  <c r="K25" i="3"/>
  <c r="I25" i="3"/>
  <c r="G25" i="3"/>
  <c r="Q25" i="3"/>
  <c r="J25" i="3"/>
  <c r="A27" i="1"/>
  <c r="A26" i="2"/>
  <c r="A26" i="3"/>
  <c r="A28" i="1" l="1"/>
  <c r="A27" i="2"/>
  <c r="A27" i="3"/>
  <c r="F26" i="3"/>
  <c r="O26" i="3"/>
  <c r="M26" i="3"/>
  <c r="L26" i="3"/>
  <c r="N26" i="3"/>
  <c r="P26" i="3"/>
  <c r="Q26" i="3"/>
  <c r="H26" i="3"/>
  <c r="J26" i="3"/>
  <c r="I26" i="3"/>
  <c r="K26" i="3"/>
  <c r="G26" i="3"/>
  <c r="M27" i="3" l="1"/>
  <c r="N27" i="3"/>
  <c r="L27" i="3"/>
  <c r="F27" i="3"/>
  <c r="P27" i="3"/>
  <c r="O27" i="3"/>
  <c r="K27" i="3"/>
  <c r="G27" i="3"/>
  <c r="Q27" i="3"/>
  <c r="I27" i="3"/>
  <c r="H27" i="3"/>
  <c r="J27" i="3"/>
  <c r="A28" i="2"/>
  <c r="A29" i="1"/>
  <c r="A28" i="3"/>
  <c r="A29" i="3" l="1"/>
  <c r="A30" i="1"/>
  <c r="A29" i="2"/>
  <c r="P28" i="3"/>
  <c r="F28" i="3"/>
  <c r="N28" i="3"/>
  <c r="M28" i="3"/>
  <c r="L28" i="3"/>
  <c r="O28" i="3"/>
  <c r="G28" i="3"/>
  <c r="H28" i="3"/>
  <c r="J28" i="3"/>
  <c r="Q28" i="3"/>
  <c r="I28" i="3"/>
  <c r="K28" i="3"/>
  <c r="P29" i="3" l="1"/>
  <c r="L29" i="3"/>
  <c r="N29" i="3"/>
  <c r="F29" i="3"/>
  <c r="O29" i="3"/>
  <c r="M29" i="3"/>
  <c r="G29" i="3"/>
  <c r="H29" i="3"/>
  <c r="Q29" i="3"/>
  <c r="J29" i="3"/>
  <c r="K29" i="3"/>
  <c r="I29" i="3"/>
  <c r="A30" i="2"/>
  <c r="A31" i="1"/>
  <c r="A30" i="3"/>
  <c r="A31" i="3" l="1"/>
  <c r="A31" i="2"/>
  <c r="A32" i="1"/>
  <c r="P30" i="3"/>
  <c r="M30" i="3"/>
  <c r="O30" i="3"/>
  <c r="F30" i="3"/>
  <c r="N30" i="3"/>
  <c r="L30" i="3"/>
  <c r="H30" i="3"/>
  <c r="I30" i="3"/>
  <c r="Q30" i="3"/>
  <c r="K30" i="3"/>
  <c r="J30" i="3"/>
  <c r="G30" i="3"/>
  <c r="O31" i="3" l="1"/>
  <c r="P31" i="3"/>
  <c r="M31" i="3"/>
  <c r="F31" i="3"/>
  <c r="N31" i="3"/>
  <c r="L31" i="3"/>
  <c r="J31" i="3"/>
  <c r="Q31" i="3"/>
  <c r="K31" i="3"/>
  <c r="I31" i="3"/>
  <c r="H31" i="3"/>
  <c r="G31" i="3"/>
  <c r="A32" i="2"/>
  <c r="A33" i="1"/>
  <c r="A32" i="3"/>
  <c r="A34" i="1" l="1"/>
  <c r="A33" i="3"/>
  <c r="A33" i="2"/>
  <c r="M32" i="3"/>
  <c r="L32" i="3"/>
  <c r="P32" i="3"/>
  <c r="O32" i="3"/>
  <c r="N32" i="3"/>
  <c r="F32" i="3"/>
  <c r="Q32" i="3"/>
  <c r="J32" i="3"/>
  <c r="H32" i="3"/>
  <c r="K32" i="3"/>
  <c r="I32" i="3"/>
  <c r="G32" i="3"/>
  <c r="F33" i="3" l="1"/>
  <c r="O33" i="3"/>
  <c r="L33" i="3"/>
  <c r="N33" i="3"/>
  <c r="P33" i="3"/>
  <c r="M33" i="3"/>
  <c r="Q33" i="3"/>
  <c r="I33" i="3"/>
  <c r="J33" i="3"/>
  <c r="H33" i="3"/>
  <c r="K33" i="3"/>
  <c r="G33" i="3"/>
  <c r="A35" i="1"/>
  <c r="A34" i="2"/>
  <c r="A34" i="3"/>
  <c r="F34" i="3" l="1"/>
  <c r="O34" i="3"/>
  <c r="L34" i="3"/>
  <c r="P34" i="3"/>
  <c r="M34" i="3"/>
  <c r="N34" i="3"/>
  <c r="I34" i="3"/>
  <c r="J34" i="3"/>
  <c r="Q34" i="3"/>
  <c r="G34" i="3"/>
  <c r="K34" i="3"/>
  <c r="H34" i="3"/>
  <c r="A36" i="1"/>
  <c r="A35" i="3"/>
  <c r="A35" i="2"/>
  <c r="N35" i="3" l="1"/>
  <c r="M35" i="3"/>
  <c r="P35" i="3"/>
  <c r="F35" i="3"/>
  <c r="L35" i="3"/>
  <c r="O35" i="3"/>
  <c r="I35" i="3"/>
  <c r="H35" i="3"/>
  <c r="K35" i="3"/>
  <c r="G35" i="3"/>
  <c r="J35" i="3"/>
  <c r="Q35" i="3"/>
  <c r="A36" i="2"/>
  <c r="A37" i="1"/>
  <c r="A36" i="3"/>
  <c r="A38" i="1" l="1"/>
  <c r="A39" i="1" s="1"/>
  <c r="A37" i="2"/>
  <c r="A37" i="3"/>
  <c r="F36" i="3"/>
  <c r="N36" i="3"/>
  <c r="O36" i="3"/>
  <c r="P36" i="3"/>
  <c r="M36" i="3"/>
  <c r="L36" i="3"/>
  <c r="H36" i="3"/>
  <c r="G36" i="3"/>
  <c r="I36" i="3"/>
  <c r="Q36" i="3"/>
  <c r="J36" i="3"/>
  <c r="K36" i="3"/>
  <c r="F37" i="3" l="1"/>
  <c r="P37" i="3"/>
  <c r="N37" i="3"/>
  <c r="L37" i="3"/>
  <c r="O37" i="3"/>
  <c r="M37" i="3"/>
  <c r="G37" i="3"/>
  <c r="I37" i="3"/>
  <c r="K37" i="3"/>
  <c r="J37" i="3"/>
  <c r="Q37" i="3"/>
  <c r="H37" i="3"/>
  <c r="A38" i="2"/>
  <c r="A40" i="1"/>
  <c r="A38" i="3"/>
  <c r="P38" i="3" l="1"/>
  <c r="N38" i="3"/>
  <c r="O38" i="3"/>
  <c r="F38" i="3"/>
  <c r="L38" i="3"/>
  <c r="M38" i="3"/>
  <c r="G38" i="3"/>
  <c r="H38" i="3"/>
  <c r="J38" i="3"/>
  <c r="K38" i="3"/>
  <c r="Q38" i="3"/>
  <c r="I38" i="3"/>
  <c r="A39" i="3"/>
  <c r="A39" i="2"/>
  <c r="A41" i="1"/>
  <c r="M39" i="3" l="1"/>
  <c r="P39" i="3"/>
  <c r="L39" i="3"/>
  <c r="F39" i="3"/>
  <c r="O39" i="3"/>
  <c r="N39" i="3"/>
  <c r="K39" i="3"/>
  <c r="H39" i="3"/>
  <c r="G39" i="3"/>
  <c r="Q39" i="3"/>
  <c r="I39" i="3"/>
  <c r="J39" i="3"/>
  <c r="A40" i="2"/>
  <c r="A42" i="1"/>
  <c r="A40" i="3"/>
  <c r="A41" i="3" l="1"/>
  <c r="A43" i="1"/>
  <c r="A41" i="2"/>
  <c r="F40" i="3"/>
  <c r="P40" i="3"/>
  <c r="O40" i="3"/>
  <c r="M40" i="3"/>
  <c r="N40" i="3"/>
  <c r="L40" i="3"/>
  <c r="K40" i="3"/>
  <c r="G40" i="3"/>
  <c r="H40" i="3"/>
  <c r="I40" i="3"/>
  <c r="Q40" i="3"/>
  <c r="J40" i="3"/>
  <c r="L41" i="3" l="1"/>
  <c r="F41" i="3"/>
  <c r="N41" i="3"/>
  <c r="P41" i="3"/>
  <c r="M41" i="3"/>
  <c r="O41" i="3"/>
  <c r="I41" i="3"/>
  <c r="J41" i="3"/>
  <c r="K41" i="3"/>
  <c r="H41" i="3"/>
  <c r="Q41" i="3"/>
  <c r="G41" i="3"/>
  <c r="A44" i="1"/>
  <c r="A42" i="2"/>
  <c r="A42" i="3"/>
  <c r="O42" i="3" l="1"/>
  <c r="F42" i="3"/>
  <c r="L42" i="3"/>
  <c r="N42" i="3"/>
  <c r="P42" i="3"/>
  <c r="M42" i="3"/>
  <c r="I42" i="3"/>
  <c r="J42" i="3"/>
  <c r="H42" i="3"/>
  <c r="K42" i="3"/>
  <c r="G42" i="3"/>
  <c r="Q42" i="3"/>
  <c r="A43" i="2"/>
  <c r="A45" i="1"/>
  <c r="A46" i="1" s="1"/>
  <c r="A43" i="3"/>
  <c r="A44" i="2" l="1"/>
  <c r="A47" i="1"/>
  <c r="A44" i="3"/>
  <c r="M43" i="3"/>
  <c r="P43" i="3"/>
  <c r="N43" i="3"/>
  <c r="O43" i="3"/>
  <c r="F43" i="3"/>
  <c r="L43" i="3"/>
  <c r="J43" i="3"/>
  <c r="Q43" i="3"/>
  <c r="I43" i="3"/>
  <c r="K43" i="3"/>
  <c r="G43" i="3"/>
  <c r="H43" i="3"/>
  <c r="A45" i="2" l="1"/>
  <c r="A48" i="1"/>
  <c r="A45" i="3"/>
  <c r="F44" i="3"/>
  <c r="L44" i="3"/>
  <c r="M44" i="3"/>
  <c r="P44" i="3"/>
  <c r="O44" i="3"/>
  <c r="N44" i="3"/>
  <c r="J44" i="3"/>
  <c r="K44" i="3"/>
  <c r="G44" i="3"/>
  <c r="H44" i="3"/>
  <c r="Q44" i="3"/>
  <c r="I44" i="3"/>
  <c r="A46" i="2" l="1"/>
  <c r="A46" i="3"/>
  <c r="A49" i="1"/>
  <c r="P45" i="3"/>
  <c r="L45" i="3"/>
  <c r="N45" i="3"/>
  <c r="F45" i="3"/>
  <c r="M45" i="3"/>
  <c r="O45" i="3"/>
  <c r="H45" i="3"/>
  <c r="I45" i="3"/>
  <c r="K45" i="3"/>
  <c r="G45" i="3"/>
  <c r="Q45" i="3"/>
  <c r="J45" i="3"/>
  <c r="A50" i="1" l="1"/>
  <c r="A47" i="3"/>
  <c r="A47" i="2"/>
  <c r="P46" i="3"/>
  <c r="O46" i="3"/>
  <c r="F46" i="3"/>
  <c r="M46" i="3"/>
  <c r="L46" i="3"/>
  <c r="N46" i="3"/>
  <c r="H46" i="3"/>
  <c r="G46" i="3"/>
  <c r="I46" i="3"/>
  <c r="Q46" i="3"/>
  <c r="K46" i="3"/>
  <c r="J46" i="3"/>
  <c r="O47" i="3" l="1"/>
  <c r="L47" i="3"/>
  <c r="F47" i="3"/>
  <c r="P47" i="3"/>
  <c r="N47" i="3"/>
  <c r="M47" i="3"/>
  <c r="G47" i="3"/>
  <c r="K47" i="3"/>
  <c r="I47" i="3"/>
  <c r="J47" i="3"/>
  <c r="H47" i="3"/>
  <c r="Q47" i="3"/>
  <c r="A48" i="2"/>
  <c r="A51" i="1"/>
  <c r="A48" i="3"/>
  <c r="A49" i="3" l="1"/>
  <c r="A52" i="1"/>
  <c r="A49" i="2"/>
  <c r="N48" i="3"/>
  <c r="M48" i="3"/>
  <c r="P48" i="3"/>
  <c r="F48" i="3"/>
  <c r="O48" i="3"/>
  <c r="L48" i="3"/>
  <c r="G48" i="3"/>
  <c r="K48" i="3"/>
  <c r="H48" i="3"/>
  <c r="I48" i="3"/>
  <c r="Q48" i="3"/>
  <c r="J48" i="3"/>
  <c r="P49" i="3" l="1"/>
  <c r="O49" i="3"/>
  <c r="L49" i="3"/>
  <c r="F49" i="3"/>
  <c r="M49" i="3"/>
  <c r="N49" i="3"/>
  <c r="I49" i="3"/>
  <c r="H49" i="3"/>
  <c r="J49" i="3"/>
  <c r="K49" i="3"/>
  <c r="G49" i="3"/>
  <c r="Q49" i="3"/>
  <c r="A50" i="2"/>
  <c r="A53" i="1"/>
  <c r="A50" i="3"/>
  <c r="A54" i="1" l="1"/>
  <c r="A51" i="2"/>
  <c r="A51" i="3"/>
  <c r="O50" i="3"/>
  <c r="F50" i="3"/>
  <c r="P50" i="3"/>
  <c r="L50" i="3"/>
  <c r="N50" i="3"/>
  <c r="M50" i="3"/>
  <c r="G50" i="3"/>
  <c r="Q50" i="3"/>
  <c r="K50" i="3"/>
  <c r="I50" i="3"/>
  <c r="J50" i="3"/>
  <c r="H50" i="3"/>
  <c r="F51" i="3" l="1"/>
  <c r="P51" i="3"/>
  <c r="M51" i="3"/>
  <c r="N51" i="3"/>
  <c r="L51" i="3"/>
  <c r="O51" i="3"/>
  <c r="J51" i="3"/>
  <c r="K51" i="3"/>
  <c r="H51" i="3"/>
  <c r="I51" i="3"/>
  <c r="G51" i="3"/>
  <c r="Q51" i="3"/>
  <c r="A55" i="1"/>
  <c r="A52" i="2"/>
  <c r="A52" i="3"/>
  <c r="P52" i="3" l="1"/>
  <c r="O52" i="3"/>
  <c r="M52" i="3"/>
  <c r="L52" i="3"/>
  <c r="F52" i="3"/>
  <c r="N52" i="3"/>
  <c r="G52" i="3"/>
  <c r="H52" i="3"/>
  <c r="Q52" i="3"/>
  <c r="J52" i="3"/>
  <c r="I52" i="3"/>
  <c r="K52" i="3"/>
  <c r="A53" i="3"/>
  <c r="A56" i="1"/>
  <c r="A53" i="2"/>
  <c r="N53" i="3" l="1"/>
  <c r="O53" i="3"/>
  <c r="P53" i="3"/>
  <c r="L53" i="3"/>
  <c r="M53" i="3"/>
  <c r="F53" i="3"/>
  <c r="J53" i="3"/>
  <c r="G53" i="3"/>
  <c r="Q53" i="3"/>
  <c r="I53" i="3"/>
  <c r="K53" i="3"/>
  <c r="H53" i="3"/>
  <c r="A54" i="2"/>
  <c r="A57" i="1"/>
  <c r="A54" i="3"/>
  <c r="A58" i="1" l="1"/>
  <c r="A55" i="3"/>
  <c r="A55" i="2"/>
  <c r="P54" i="3"/>
  <c r="O54" i="3"/>
  <c r="F54" i="3"/>
  <c r="N54" i="3"/>
  <c r="M54" i="3"/>
  <c r="L54" i="3"/>
  <c r="K54" i="3"/>
  <c r="J54" i="3"/>
  <c r="Q54" i="3"/>
  <c r="I54" i="3"/>
  <c r="H54" i="3"/>
  <c r="G54" i="3"/>
  <c r="O55" i="3" l="1"/>
  <c r="F55" i="3"/>
  <c r="P55" i="3"/>
  <c r="M55" i="3"/>
  <c r="L55" i="3"/>
  <c r="N55" i="3"/>
  <c r="K55" i="3"/>
  <c r="G55" i="3"/>
  <c r="H55" i="3"/>
  <c r="Q55" i="3"/>
  <c r="J55" i="3"/>
  <c r="I55" i="3"/>
  <c r="A56" i="2"/>
  <c r="A56" i="3"/>
  <c r="A59" i="1"/>
  <c r="A57" i="2" l="1"/>
  <c r="A57" i="3"/>
  <c r="A60" i="1"/>
  <c r="F56" i="3"/>
  <c r="O56" i="3"/>
  <c r="P56" i="3"/>
  <c r="M56" i="3"/>
  <c r="N56" i="3"/>
  <c r="L56" i="3"/>
  <c r="H56" i="3"/>
  <c r="K56" i="3"/>
  <c r="I56" i="3"/>
  <c r="J56" i="3"/>
  <c r="Q56" i="3"/>
  <c r="G56" i="3"/>
  <c r="A58" i="2" l="1"/>
  <c r="A61" i="1"/>
  <c r="A58" i="3"/>
  <c r="O57" i="3"/>
  <c r="N57" i="3"/>
  <c r="L57" i="3"/>
  <c r="P57" i="3"/>
  <c r="F57" i="3"/>
  <c r="M57" i="3"/>
  <c r="J57" i="3"/>
  <c r="I57" i="3"/>
  <c r="K57" i="3"/>
  <c r="G57" i="3"/>
  <c r="Q57" i="3"/>
  <c r="H57" i="3"/>
  <c r="A59" i="3" l="1"/>
  <c r="A59" i="2"/>
  <c r="A62" i="1"/>
  <c r="L58" i="3"/>
  <c r="M58" i="3"/>
  <c r="N58" i="3"/>
  <c r="F58" i="3"/>
  <c r="P58" i="3"/>
  <c r="O58" i="3"/>
  <c r="G58" i="3"/>
  <c r="J58" i="3"/>
  <c r="K58" i="3"/>
  <c r="Q58" i="3"/>
  <c r="H58" i="3"/>
  <c r="I58" i="3"/>
  <c r="A60" i="2" l="1"/>
  <c r="A63" i="1"/>
  <c r="A60" i="3"/>
  <c r="O59" i="3"/>
  <c r="L59" i="3"/>
  <c r="M59" i="3"/>
  <c r="F59" i="3"/>
  <c r="N59" i="3"/>
  <c r="P59" i="3"/>
  <c r="K59" i="3"/>
  <c r="J59" i="3"/>
  <c r="G59" i="3"/>
  <c r="H59" i="3"/>
  <c r="I59" i="3"/>
  <c r="Q59" i="3"/>
  <c r="A64" i="1" l="1"/>
  <c r="A61" i="2"/>
  <c r="A61" i="3"/>
  <c r="F60" i="3"/>
  <c r="P60" i="3"/>
  <c r="L60" i="3"/>
  <c r="N60" i="3"/>
  <c r="O60" i="3"/>
  <c r="M60" i="3"/>
  <c r="J60" i="3"/>
  <c r="G60" i="3"/>
  <c r="Q60" i="3"/>
  <c r="K60" i="3"/>
  <c r="H60" i="3"/>
  <c r="I60" i="3"/>
  <c r="N61" i="3" l="1"/>
  <c r="F61" i="3"/>
  <c r="M61" i="3"/>
  <c r="P61" i="3"/>
  <c r="L61" i="3"/>
  <c r="O61" i="3"/>
  <c r="J61" i="3"/>
  <c r="H61" i="3"/>
  <c r="Q61" i="3"/>
  <c r="K61" i="3"/>
  <c r="I61" i="3"/>
  <c r="G61" i="3"/>
  <c r="A65" i="1"/>
  <c r="A62" i="2"/>
  <c r="A62" i="3"/>
  <c r="N62" i="3" l="1"/>
  <c r="O62" i="3"/>
  <c r="F62" i="3"/>
  <c r="P62" i="3"/>
  <c r="M62" i="3"/>
  <c r="L62" i="3"/>
  <c r="J62" i="3"/>
  <c r="K62" i="3"/>
  <c r="H62" i="3"/>
  <c r="G62" i="3"/>
  <c r="Q62" i="3"/>
  <c r="I62" i="3"/>
  <c r="A66" i="1"/>
  <c r="A63" i="3"/>
  <c r="A63" i="2"/>
  <c r="M63" i="3" l="1"/>
  <c r="N63" i="3"/>
  <c r="O63" i="3"/>
  <c r="L63" i="3"/>
  <c r="F63" i="3"/>
  <c r="P63" i="3"/>
  <c r="Q63" i="3"/>
  <c r="I63" i="3"/>
  <c r="J63" i="3"/>
  <c r="K63" i="3"/>
  <c r="G63" i="3"/>
  <c r="H63" i="3"/>
  <c r="A64" i="2"/>
  <c r="A67" i="1"/>
  <c r="A64" i="3"/>
  <c r="P64" i="3" l="1"/>
  <c r="M64" i="3"/>
  <c r="F64" i="3"/>
  <c r="O64" i="3"/>
  <c r="N64" i="3"/>
  <c r="L64" i="3"/>
  <c r="G64" i="3"/>
  <c r="H64" i="3"/>
  <c r="J64" i="3"/>
  <c r="Q64" i="3"/>
  <c r="K64" i="3"/>
  <c r="I64" i="3"/>
  <c r="A65" i="2"/>
  <c r="A68" i="1"/>
  <c r="A65" i="3"/>
  <c r="A66" i="2" l="1"/>
  <c r="A66" i="3"/>
  <c r="A69" i="1"/>
  <c r="M65" i="3"/>
  <c r="O65" i="3"/>
  <c r="N65" i="3"/>
  <c r="L65" i="3"/>
  <c r="P65" i="3"/>
  <c r="F65" i="3"/>
  <c r="H65" i="3"/>
  <c r="I65" i="3"/>
  <c r="K65" i="3"/>
  <c r="J65" i="3"/>
  <c r="G65" i="3"/>
  <c r="Q65" i="3"/>
  <c r="A67" i="3" l="1"/>
  <c r="A70" i="1"/>
  <c r="A71" i="1" s="1"/>
  <c r="A72" i="1" s="1"/>
  <c r="A73" i="1" s="1"/>
  <c r="A74" i="1" s="1"/>
  <c r="A75" i="1" s="1"/>
  <c r="A76" i="1" s="1"/>
  <c r="A77" i="1" s="1"/>
  <c r="A78" i="1" s="1"/>
  <c r="A67" i="2"/>
  <c r="O66" i="3"/>
  <c r="F66" i="3"/>
  <c r="P66" i="3"/>
  <c r="L66" i="3"/>
  <c r="M66" i="3"/>
  <c r="N66" i="3"/>
  <c r="J66" i="3"/>
  <c r="I66" i="3"/>
  <c r="Q66" i="3"/>
  <c r="G66" i="3"/>
  <c r="K66" i="3"/>
  <c r="H66" i="3"/>
  <c r="A79" i="1" l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F67" i="3"/>
  <c r="L67" i="3"/>
  <c r="P67" i="3"/>
  <c r="N67" i="3"/>
  <c r="M67" i="3"/>
  <c r="O67" i="3"/>
  <c r="G67" i="3"/>
  <c r="I67" i="3"/>
  <c r="K67" i="3"/>
  <c r="J67" i="3"/>
  <c r="Q67" i="3"/>
  <c r="H67" i="3"/>
  <c r="A68" i="2"/>
  <c r="A68" i="3"/>
  <c r="A69" i="2" l="1"/>
  <c r="A69" i="3"/>
  <c r="N68" i="3"/>
  <c r="P68" i="3"/>
  <c r="F68" i="3"/>
  <c r="M68" i="3"/>
  <c r="O68" i="3"/>
  <c r="L68" i="3"/>
  <c r="G68" i="3"/>
  <c r="K68" i="3"/>
  <c r="I68" i="3"/>
  <c r="H68" i="3"/>
  <c r="Q68" i="3"/>
  <c r="J68" i="3"/>
  <c r="A70" i="3" l="1"/>
  <c r="A70" i="2"/>
  <c r="F69" i="3"/>
  <c r="N69" i="3"/>
  <c r="K69" i="3"/>
  <c r="I69" i="3"/>
  <c r="G69" i="3"/>
  <c r="O69" i="3"/>
  <c r="Q69" i="3"/>
  <c r="M69" i="3"/>
  <c r="J69" i="3"/>
  <c r="H69" i="3"/>
  <c r="P69" i="3"/>
  <c r="L69" i="3"/>
  <c r="I70" i="3" l="1"/>
  <c r="L70" i="3"/>
  <c r="O70" i="3"/>
  <c r="Q70" i="3"/>
  <c r="N70" i="3"/>
  <c r="K70" i="3"/>
  <c r="H70" i="3"/>
  <c r="J70" i="3"/>
  <c r="M70" i="3"/>
  <c r="F70" i="3"/>
  <c r="P70" i="3"/>
  <c r="G70" i="3"/>
  <c r="A71" i="2"/>
  <c r="A71" i="3"/>
  <c r="I71" i="3" l="1"/>
  <c r="L71" i="3"/>
  <c r="H71" i="3"/>
  <c r="N71" i="3"/>
  <c r="Q71" i="3"/>
  <c r="G71" i="3"/>
  <c r="P71" i="3"/>
  <c r="F71" i="3"/>
  <c r="M71" i="3"/>
  <c r="K71" i="3"/>
  <c r="O71" i="3"/>
  <c r="J71" i="3"/>
  <c r="A72" i="3"/>
  <c r="A72" i="2"/>
  <c r="AD138" i="1"/>
  <c r="AD137" i="1"/>
  <c r="K138" i="1" l="1"/>
  <c r="V138" i="1"/>
  <c r="J138" i="1"/>
  <c r="N138" i="1"/>
  <c r="O138" i="1"/>
  <c r="R138" i="1"/>
  <c r="AA138" i="1"/>
  <c r="Q138" i="1"/>
  <c r="X138" i="1"/>
  <c r="Z138" i="1"/>
  <c r="Y138" i="1"/>
  <c r="AI138" i="1" s="1"/>
  <c r="P138" i="1"/>
  <c r="S138" i="1"/>
  <c r="W138" i="1"/>
  <c r="AH138" i="1" s="1"/>
  <c r="I138" i="1"/>
  <c r="U138" i="1"/>
  <c r="L138" i="1"/>
  <c r="H138" i="1"/>
  <c r="M138" i="1"/>
  <c r="T138" i="1"/>
  <c r="N72" i="3"/>
  <c r="P72" i="3"/>
  <c r="L72" i="3"/>
  <c r="I72" i="3"/>
  <c r="O72" i="3"/>
  <c r="G72" i="3"/>
  <c r="J72" i="3"/>
  <c r="F72" i="3"/>
  <c r="Q72" i="3"/>
  <c r="M72" i="3"/>
  <c r="H72" i="3"/>
  <c r="K7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<sst xmlns="http://schemas.openxmlformats.org/spreadsheetml/2006/main" count="406" uniqueCount="368">
  <si>
    <t xml:space="preserve">EMNLP (under review) </t>
  </si>
  <si>
    <t xml:space="preserve">ARR (under review) </t>
  </si>
  <si>
    <t>Based Tests for Metric Validity” ON Fandina, L Choshen, E Farchi, G Kour, Y Perlitz, O Raz</t>
  </si>
  <si>
    <t>inspired framework for evaluating basic world knowledge in language models” 5th from end, numerous authors.</t>
  </si>
  <si>
    <t xml:space="preserve">ACL 2024 </t>
  </si>
  <si>
    <t xml:space="preserve">EMNLP 2024 Demo </t>
  </si>
  <si>
    <t xml:space="preserve">TACL2024 </t>
  </si>
  <si>
    <t xml:space="preserve">ICML2024 </t>
  </si>
  <si>
    <t xml:space="preserve">ICLR2024^ </t>
  </si>
  <si>
    <t xml:space="preserve">CogSci2024 </t>
  </si>
  <si>
    <t xml:space="preserve">ACL2024 </t>
  </si>
  <si>
    <t xml:space="preserve">NAACL2024^ </t>
  </si>
  <si>
    <t xml:space="preserve">CONDA@ACL </t>
  </si>
  <si>
    <t xml:space="preserve">EMNLP2023 </t>
  </si>
  <si>
    <t xml:space="preserve">Neurips2023 </t>
  </si>
  <si>
    <t xml:space="preserve">CoNLL </t>
  </si>
  <si>
    <t xml:space="preserve">ACL2023^ </t>
  </si>
  <si>
    <t xml:space="preserve">ACL2023 </t>
  </si>
  <si>
    <t xml:space="preserve">EMNLP2022 </t>
  </si>
  <si>
    <t xml:space="preserve">CoNLL2022 (also Blackbox NLP) </t>
  </si>
  <si>
    <t xml:space="preserve">CoNLL2022* </t>
  </si>
  <si>
    <t>COLING2022</t>
  </si>
  <si>
    <t xml:space="preserve">ACL2022* </t>
  </si>
  <si>
    <t xml:space="preserve">ACL2022 </t>
  </si>
  <si>
    <t xml:space="preserve">Arxiv* </t>
  </si>
  <si>
    <t xml:space="preserve">SEM </t>
  </si>
  <si>
    <t>LREC2022</t>
  </si>
  <si>
    <t xml:space="preserve">ArXiv* </t>
  </si>
  <si>
    <t xml:space="preserve">ArXiv </t>
  </si>
  <si>
    <t xml:space="preserve">EMNLP2021 </t>
  </si>
  <si>
    <t xml:space="preserve">ArXiv* (Technical report) </t>
  </si>
  <si>
    <t xml:space="preserve">NAACL2021 </t>
  </si>
  <si>
    <t xml:space="preserve">Nature 2021 (cover) </t>
  </si>
  <si>
    <t xml:space="preserve">CONLL 2020* </t>
  </si>
  <si>
    <t>EMNLP 2020* findings</t>
  </si>
  <si>
    <t xml:space="preserve">EMNLP 2020 </t>
  </si>
  <si>
    <t xml:space="preserve">ICML 2020 </t>
  </si>
  <si>
    <t xml:space="preserve">ICLR 2020* </t>
  </si>
  <si>
    <t xml:space="preserve">AAAI 2020 </t>
  </si>
  <si>
    <t xml:space="preserve">CoNLL 2019* </t>
  </si>
  <si>
    <t xml:space="preserve">BEA@ACL 2019* </t>
  </si>
  <si>
    <t xml:space="preserve">ACL 2019* </t>
  </si>
  <si>
    <t xml:space="preserve">ACL 2019 </t>
  </si>
  <si>
    <t xml:space="preserve">SemEval@EMNLP 2019 </t>
  </si>
  <si>
    <t xml:space="preserve">ACL 2018* </t>
  </si>
  <si>
    <t>ACL 2018* ​​</t>
  </si>
  <si>
    <t xml:space="preserve">ACL 2018 </t>
  </si>
  <si>
    <t xml:space="preserve">ICLR 2018* </t>
  </si>
  <si>
    <t xml:space="preserve"> DORA The Explorer: Directed Outreaching Reinforcement Action</t>
  </si>
  <si>
    <t xml:space="preserve"> Can You Trust Your Metric? Automatic Concatenation</t>
  </si>
  <si>
    <t xml:space="preserve"> Fuse to Forget: Bias Reduction and Selective Memorization through Model Fusion</t>
  </si>
  <si>
    <t xml:space="preserve"> Kerem Zaman, Leshem Choshen, Shashank Srivastava</t>
  </si>
  <si>
    <t xml:space="preserve"> Compress then Serve: Serving Thousands of LoRA Adapters with Little Overhead</t>
  </si>
  <si>
    <t xml:space="preserve"> Benchmark Agreement Testing Done Right: A Guide for LLM Benchmark Evaluation</t>
  </si>
  <si>
    <t xml:space="preserve"> Learning from Naturally Occurring Feedback</t>
  </si>
  <si>
    <t xml:space="preserve"> NumeroLogic: Number Encoding for Enhanced LLMs' Numerical Reasoning</t>
  </si>
  <si>
    <t xml:space="preserve"> Eli Schwartz, Leshem Choshen, Joseph Shtok, Sivan Doveh, Leonid Karlinsky, Assaf Arbelle</t>
  </si>
  <si>
    <t xml:space="preserve"> A Survey on Model MoErging: Recycling and Routing Among Specialized Experts for Collaborative Learning</t>
  </si>
  <si>
    <t xml:space="preserve"> Prateek Yadav, Colin Raffel, Mohammed Muqeeth, Lucas Caccia, Haokun Liu, Tianlong Chen, Mohit Bansal, Leshem Choshen, Alessandro Sordoni</t>
  </si>
  <si>
    <t xml:space="preserve"> Unitxt: Flexible, shareable and reusable data preparation and evaluation for generative ai</t>
  </si>
  <si>
    <t xml:space="preserve"> Holmes: Benchmark the Linguistic Competence of Language Models</t>
  </si>
  <si>
    <t xml:space="preserve"> Andreas Waldis, Yotam Perlitz, Leshem Choshen, Yufang Hou, Iryna Gurevych</t>
  </si>
  <si>
    <t xml:space="preserve"> tinyBenchmarks: evaluating LLMs with fewer examples</t>
  </si>
  <si>
    <t xml:space="preserve"> Felipe Maia Polo, Lucas Weber, Leshem Choshen, Yuekai Sun, Gongjun Xu, Mikhail Yurochkin</t>
  </si>
  <si>
    <t xml:space="preserve"> Deductive Closure Training of Language Models for Coherence, Accuracy, and Updatability</t>
  </si>
  <si>
    <t xml:space="preserve"> Afra Feyza Akyürek, Ekin Akyürek, Leshem Choshen, Derry Wijaya, Jacob Andreas</t>
  </si>
  <si>
    <t xml:space="preserve"> Efficient Benchmarking (of Language Models)‏</t>
  </si>
  <si>
    <t xml:space="preserve"> Data Contamination Report from the 2024 CONDA Shared Task</t>
  </si>
  <si>
    <t xml:space="preserve"> Numerous.</t>
  </si>
  <si>
    <t xml:space="preserve"> Human Learning by Model Feedback: The Dynamics of Iterative Prompting with Midjourney</t>
  </si>
  <si>
    <t xml:space="preserve"> Where to start? Analyzing the potential value of intermediate models</t>
  </si>
  <si>
    <t xml:space="preserve"> ColD Fusion: Collaborative Descent for Distributed Multitask Finetuning</t>
  </si>
  <si>
    <t xml:space="preserve"> DisentQA: Disentangling Parametric and Contextual Knowledge with Counterfactual Question Answering</t>
  </si>
  <si>
    <t xml:space="preserve"> Ella Neeman, Roee Aharoni, Or Honovich, Leshem Choshen, Idan Szpektor, Omri Abend</t>
  </si>
  <si>
    <t xml:space="preserve"> PreQuEL: Quality Estimation of Machine Translation Outputs in Advance</t>
  </si>
  <si>
    <t xml:space="preserve"> On the Representation of Sentence Structural Invariances in Neural Machine Translation</t>
  </si>
  <si>
    <t xml:space="preserve"> Gal Patel, Leshem Choshen, Omri Abend</t>
  </si>
  <si>
    <t xml:space="preserve"> Leshem Choshen, Omri Abend</t>
  </si>
  <si>
    <t xml:space="preserve"> Tackling large action spaces in machine translation</t>
  </si>
  <si>
    <t xml:space="preserve"> Assaf Yehudai, Leshem Choshen, Omri Abend</t>
  </si>
  <si>
    <t xml:space="preserve"> Label Sleuth: From Unlabeled Text to a Classifier in a Few Hours</t>
  </si>
  <si>
    <t xml:space="preserve"> Cluster &amp; Tune: Boost BERT Cold Start Performance in Topical Text Classification</t>
  </si>
  <si>
    <t xml:space="preserve"> Eyal Shnarch, Ariel Gera, Alon Halfon, Lena Dankin, Leshem Choshen, Ranit Aharonov, Noam Slonim</t>
  </si>
  <si>
    <t xml:space="preserve"> Some Grammatical Errors are Frequent, Others are Important</t>
  </si>
  <si>
    <t xml:space="preserve"> Leshem Choshen, Ofir Shifman and Omri Abend</t>
  </si>
  <si>
    <t xml:space="preserve"> Fusing finetuned models for better pretraining</t>
  </si>
  <si>
    <t xml:space="preserve"> Leshem Choshen, Elad Venezian, Noam Slonim, Yoav Katz</t>
  </si>
  <si>
    <t xml:space="preserve"> ComSum: Commit Messages Summarization and Meaning Preservation</t>
  </si>
  <si>
    <t xml:space="preserve"> Leshem Choshen &amp; Idan Amit</t>
  </si>
  <si>
    <t xml:space="preserve"> Part of speech and universal dependency effects on english arabic machine translation</t>
  </si>
  <si>
    <t xml:space="preserve"> Ofek Rafaeli, Omri Abend, Leshem Choshen, Dmitry Nikolaev</t>
  </si>
  <si>
    <t xml:space="preserve"> SERRANT: a syntactic classifier for English Grammatical Error Types</t>
  </si>
  <si>
    <t xml:space="preserve"> Leshem Choshen, Matanel Orenm Dmitry Nikolaev, Omri Abend</t>
  </si>
  <si>
    <t xml:space="preserve"> Mediators in Determining what Processing BERT Performs First</t>
  </si>
  <si>
    <t xml:space="preserve"> Aviv Solobodkin, Leshem Choshen, Omri Abend</t>
  </si>
  <si>
    <t xml:space="preserve"> Shachar Don-Yehiya, Leshem Choshen, Omri Abend</t>
  </si>
  <si>
    <t xml:space="preserve"> The ShareLM Collection and Plugin: Contributing Human-Model Chats for the Benefit of the Community</t>
  </si>
  <si>
    <t xml:space="preserve"> Shir Ashury-Tahan, Benjamin Sznajder, Leshem Choshen, Liat Ein</t>
  </si>
  <si>
    <t xml:space="preserve"> Label-Efficient Model Selection for Text Generation</t>
  </si>
  <si>
    <t>Prateek Yadav, Derek Tam, Leshem Choshen, Colin Raffel, Mohit Bansal</t>
  </si>
  <si>
    <t xml:space="preserve"> TIES-Merging: Resolving Interference When Merging Models</t>
  </si>
  <si>
    <t>Tailin Karidi, Leshem Choshen, Gal Patel, Omri Abend</t>
  </si>
  <si>
    <t xml:space="preserve"> MuLER: Multi-Level Evaluation with Reference</t>
  </si>
  <si>
    <t>Almog Gueta, Elad Venezian, Colin Raffel, Noam Slonim, Yoav Katz, Leshem Choshen</t>
  </si>
  <si>
    <t xml:space="preserve"> Knowledge is a Region in Weight Space for Fine-tuned Language Models</t>
  </si>
  <si>
    <t xml:space="preserve"> Leshem Choshen, Guy Hacohen, Daphna Weinshall, Omri Abend</t>
  </si>
  <si>
    <t xml:space="preserve"> Aviv Slobodkin, Leshem Choshen, Omri Abend</t>
  </si>
  <si>
    <t xml:space="preserve"> Piyawat Lertvittayakumjorn, Leshem Choshen, Eyal Shnarch, Francesca Toni</t>
  </si>
  <si>
    <t xml:space="preserve"> Or Honnovich, Leshem Choshen, Roee Aharoni, Idan Szpector, Omri Abend †</t>
  </si>
  <si>
    <t xml:space="preserve"> 5th author, full list of authors omitted due to length restrictions (55 authors)</t>
  </si>
  <si>
    <t xml:space="preserve"> Corpus wide argument mining- a working solution </t>
  </si>
  <si>
    <t>Liat Ein-Dor, Eyal Shnarch, Lena Dankin, Alon Halfon, Benjamin Sznajder, Ariel Gera, Carlos Alzate, Martin Gleize, Leshem Choshen, Yufang Hou, Yonatan Bilu, Ranit Aharonov, Noam Slonim</t>
  </si>
  <si>
    <t>Leshem Choshen, Omri Abend</t>
  </si>
  <si>
    <t xml:space="preserve"> Automatically Extracting Challenge Sets for Non-local Phenomena in Neural Machine Translation </t>
  </si>
  <si>
    <t xml:space="preserve"> Learning to combine Grammatical Error Corrections </t>
  </si>
  <si>
    <t>Yoav Kantor, Yoav Katz, Leshem Choshen, Edo Cohen-Karlik, Naftali Liberman, Assaf Toledo, Amir Menczel, Noam Slonim</t>
  </si>
  <si>
    <t xml:space="preserve"> The Language of Legal and Illegal Activity on the Darknet </t>
  </si>
  <si>
    <t>Leshem Choshen, Dan Eldad, Daniel Hershcovich, Elior Sulem, Omri Abend</t>
  </si>
  <si>
    <t xml:space="preserve"> Are You Convinced? Choosing the More Convincing Evidence with a Siamese Network </t>
  </si>
  <si>
    <t>Martin Gleize, Eyal Shnarch, Leshem Choshen, Lena Dankin, Guy Moshkowich, Ranit Aharonov, Noam Slonim</t>
  </si>
  <si>
    <t>Daniel Hershcovich, Zohar Aizenbud, Leshem Choshen, Elior Sulem, Ari Rappoport, Omri Abend</t>
  </si>
  <si>
    <t xml:space="preserve"> SemEval 2019 Task 1: Cross-lingual Semantic Parsing with UCCA </t>
  </si>
  <si>
    <t>​​ Inherent Biases in Reference-based Evaluation for Grammatical Error Correction and Text Simplification</t>
  </si>
  <si>
    <t xml:space="preserve"> Automatic Metric Validation for Grammatical Error Correction</t>
  </si>
  <si>
    <t xml:space="preserve"> Will it Blend? Weak and Manual Labeled Data in a Neural Network for Argumentation Mining</t>
  </si>
  <si>
    <t xml:space="preserve">Eyal Shnarch, Carlos Alzate, Lena Dankin, Martin Gleize, Yufang Hou, Leshem Choshen, Ranit Aharonov and Noam Slonim </t>
  </si>
  <si>
    <t>NAACL-HLT 2018*</t>
  </si>
  <si>
    <t>Reference-less Measure of Faithfulness for Grammatical Error Correction</t>
  </si>
  <si>
    <t>Leshem Choshen, Lior Fox, Yonatan Loewenstein</t>
  </si>
  <si>
    <t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t>
  </si>
  <si>
    <t>year</t>
  </si>
  <si>
    <t>Name</t>
  </si>
  <si>
    <t>Authors</t>
  </si>
  <si>
    <t xml:space="preserve"> The Grammar-Learning Trajectories of Neural Language Models</t>
  </si>
  <si>
    <t xml:space="preserve"> Semantics-aware Attention Improves Neural Machine Translation</t>
  </si>
  <si>
    <t xml:space="preserve"> GrASP: A Library for Extracting and Exploring Human-Interpretable Textual Patterns</t>
  </si>
  <si>
    <t xml:space="preserve"> Q2: Evaluating Factual Consistency in Knowledge-Grounded Dialogues via Question Generation and Question Answering</t>
  </si>
  <si>
    <t xml:space="preserve"> Project Debater  an Autonomous Debating System</t>
  </si>
  <si>
    <t xml:space="preserve"> Classifying Syntactic Errors in Learner Language </t>
  </si>
  <si>
    <t>Leshem Choshen, Dmitry Nikolaev, Yevgeni Berzak, Omri Abend</t>
  </si>
  <si>
    <t xml:space="preserve"> Unsupervised Expressive Rules Provide Explainability and Assist Human Experts Grasping New Domains </t>
  </si>
  <si>
    <t>Eyal Shnarch, Leshem Choshen, Guy Moshkowich, Ranit Aharonov, Noam Slonim</t>
  </si>
  <si>
    <t xml:space="preserve"> Active Learning for BERT: An Empirical Study </t>
  </si>
  <si>
    <t>Liat Ein-Dor, Alon Halfon, Ariel Gera, Eyal Shnarch, Lena Dankin, Leshem Choshen, Marina Danilevsky, Ranit Aharonov, Yoav Katz and Noam Slonim</t>
  </si>
  <si>
    <t xml:space="preserve"> Let's Agree to Agree: Neural Networks Share Classification Order on Real Datasets </t>
  </si>
  <si>
    <t>Guy Hacohen, Leshem Choshen, Dafna Weinshall</t>
  </si>
  <si>
    <t xml:space="preserve"> On the Weaknesses of Reinforcement Learning for Neural Machine Translation </t>
  </si>
  <si>
    <t>Leshem Choshen, Lior Fox, Zohar Aizenbud, Omri Abend </t>
  </si>
  <si>
    <t xml:space="preserve"> Rickard BrüelGabrielsson, Jiacheng Zhu, Onkar Bhardwaj, Leshem Choshen, Kristjan Greenewald, Mikhail Yurochkin, Justin Solomon</t>
  </si>
  <si>
    <t xml:space="preserve"> Yotam Perlitz, Ariel Gera, Ofir Arviv, Asaf Yehudai, Elron Bandel, Eyal Shnarch, Michal ShmueliScheuer, Leshem Choshen</t>
  </si>
  <si>
    <t xml:space="preserve"> Shachar DonYehiya, Leshem Choshen, Omri Abend</t>
  </si>
  <si>
    <t xml:space="preserve"> Elron Bandel, Yotam Perlitz, Elad Venezian, Roni FriedmanMelamed, Ofir Arviv, Matan Orbach, Shachar Don-Yehyia, Dafna Sheinwald, Ariel Gera, Leshem Choshen, Michal Shmueli-Scheuer, Yoav Katz</t>
  </si>
  <si>
    <t xml:space="preserve"> Yotam Perlitz, Elron Bandel, Ariel Gera, Ofir Arviv, Liat Ein-Dor, Eyal Shnarch, Noam Slonim, Michal Shmueli-Scheuer, Leshem Choshen</t>
  </si>
  <si>
    <t xml:space="preserve"> Shachar Don-Yechia, Leshem Choshen, Omri Abend </t>
  </si>
  <si>
    <t xml:space="preserve"> Leshem Choshen, Elad Venezian, Shachar Don-Yechia, Yoav Katz, Noam Slonim</t>
  </si>
  <si>
    <t xml:space="preserve"> Shachar Don-Yehia, Elad Venezian, Colin Raffel, Noam Slonim, Yoav Katz, Leshem Choshen </t>
  </si>
  <si>
    <t>Dataset</t>
  </si>
  <si>
    <t>Evaluation</t>
  </si>
  <si>
    <t>Shared-task\effort</t>
  </si>
  <si>
    <t>Open</t>
  </si>
  <si>
    <t>Meta-science</t>
  </si>
  <si>
    <t>Paper</t>
  </si>
  <si>
    <t>Ethan Gotlieb Wilcox, Michael Hu, Aaron Mueller, Tal Linzen, Alex Warstadt, Leshem Choshen, Chengxu Zhuang, Ryan Cotterell, Adina Williams</t>
  </si>
  <si>
    <t xml:space="preserve"> Bigger is not always better: The importance of human-scale language modeling for psycholinguistics</t>
  </si>
  <si>
    <t>Efficiency</t>
  </si>
  <si>
    <t xml:space="preserve"> M Ifergan, L Choshen, R Aharoni, I Szpektor, O Abend</t>
  </si>
  <si>
    <t xml:space="preserve"> Beneath the Surface of Consistency: Exploring Cross-lingual Knowledge Representation Sharing in LLMs”</t>
  </si>
  <si>
    <t>Moshik Hershcovitch, Leshem Choshen, Andrew Wood, Ilias Enmouri, Peter Chin, Swaminathan Sundararaman, Danny Harnik</t>
  </si>
  <si>
    <t xml:space="preserve"> Lossless and Near Lossless Compression for Foundation Models</t>
  </si>
  <si>
    <t>Felipe Maia Polo, Ronald Xu, Lucas Weber, Mírian Silva, Onkar Bhardwaj, Leshem Choshen, Allysson Flavio Melo de Oliveira, Yuekai Sun, Mikhail Yurochkin</t>
  </si>
  <si>
    <t xml:space="preserve"> Efficient multi-prompt evaluation of LLMs</t>
  </si>
  <si>
    <t>Training</t>
  </si>
  <si>
    <t>Jiacheng Zhu, Kristjan Greenewald, Kimia Nadjahi, Haitz Sáez de Ocáriz Borde, Rickard Brüel Gabrielsson, Leshem Choshen, Marzyeh Ghassemi, Mikhail Yurochkin, Justin Solomon</t>
  </si>
  <si>
    <t xml:space="preserve"> Asymmetry in low rank adapters of foundation models</t>
  </si>
  <si>
    <t xml:space="preserve"> Asaf Yehudai, Boaz Carmeli, Yosi Mass, Ofir Arviv, Nathaniel Mills, Assaf Toledo, Eyal Shnarch, Leshem Choshen</t>
  </si>
  <si>
    <t xml:space="preserve"> Genie: Achieving human parity in content grounded datasets generation</t>
  </si>
  <si>
    <t xml:space="preserve">LREC-Coling 2024 </t>
  </si>
  <si>
    <t>Jump to Conclusions: Short-Cutting Transformers With Linear Transformations</t>
  </si>
  <si>
    <r>
      <t>Alexander Yom Din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Taelin Karidi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Leshem Choshen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Mor Geva</t>
    </r>
  </si>
  <si>
    <t>sum:</t>
  </si>
  <si>
    <t>AVG:</t>
  </si>
  <si>
    <t>Not empty</t>
  </si>
  <si>
    <t>Time of publish ID</t>
  </si>
  <si>
    <t>ICML</t>
  </si>
  <si>
    <t>CoNLL</t>
  </si>
  <si>
    <t>Neurips</t>
  </si>
  <si>
    <t>The Future of Open Human Feedback</t>
  </si>
  <si>
    <t>Many authors, led by me.</t>
  </si>
  <si>
    <t>DonYehiya2024TheFO</t>
  </si>
  <si>
    <t>DBLP:journals/corr/abs-2311-07682</t>
  </si>
  <si>
    <t>DBLP:journals/corr/abs-2407-13696</t>
  </si>
  <si>
    <t>DBLP:journals/corr/abs-2407-10944</t>
  </si>
  <si>
    <t>DBLP:journals/corr/abs-2404-15198</t>
  </si>
  <si>
    <t>DBLP:journals/corr/abs-2405-09605</t>
  </si>
  <si>
    <t>DBLP:journals/corr/abs-2404-18923</t>
  </si>
  <si>
    <t>DBLP:conf/coling/DinKCG24</t>
  </si>
  <si>
    <t>DBLP:journals/corr/abs-2407-21530</t>
  </si>
  <si>
    <t>DBLP:conf/emnlp/Don-YehiyaCA23</t>
  </si>
  <si>
    <t>DBLP:conf/conll/PatelCA22</t>
  </si>
  <si>
    <t>DBLP:journals/corr/abs-2205-05730</t>
  </si>
  <si>
    <t>DBLP:journals/corr/abs-2108-10763</t>
  </si>
  <si>
    <t>DBLP:journals/corr/abs-2106-00745</t>
  </si>
  <si>
    <t>DBLP:journals/corr/abs-2104-02310</t>
  </si>
  <si>
    <t>DBLP:journals/nature/SlonimBABBBCCDE21</t>
  </si>
  <si>
    <t>DBLP:conf/conll/ChoshenNBA20</t>
  </si>
  <si>
    <t>DBLP:conf/icml/HacohenCW20</t>
  </si>
  <si>
    <t>DBLP:conf/acl/ShnarchPDGHCAS18</t>
  </si>
  <si>
    <t>DBLP:conf/conll/KaridiCPA23</t>
  </si>
  <si>
    <t>DBLP:conf/nips/YadavTCRB23</t>
  </si>
  <si>
    <t>DBLP:conf/acl/Ashury-TahanGSC24</t>
  </si>
  <si>
    <t>DBLP:conf/icml/PoloWCSXY24</t>
  </si>
  <si>
    <t>DBLP:conf/icml/ZhuGNBGCGY024</t>
  </si>
  <si>
    <t>DBLP:conf/iclr/YehudaiCMAMSC24</t>
  </si>
  <si>
    <t>DBLP:conf/acl/AkyurekACWA24</t>
  </si>
  <si>
    <t>DBLP:conf/emnlp/GuetaVRSKC23</t>
  </si>
  <si>
    <t>DBLP:conf/emnlp/ChoshenVDSK23</t>
  </si>
  <si>
    <t>DBLP:conf/acl/Don-YehiyaVRSC23</t>
  </si>
  <si>
    <t>DBLP:conf/acl/NeemanAHCSA23</t>
  </si>
  <si>
    <t>DBLP:conf/emnlp/Don-YehiyaCA22</t>
  </si>
  <si>
    <t>DBLP:conf/coling/YehudaiCFA22</t>
  </si>
  <si>
    <t>DBLP:conf/emnlp/ShnarchHGDKCCEZW22</t>
  </si>
  <si>
    <t>DBLP:conf/acl/ChoshenHWA22</t>
  </si>
  <si>
    <t>DBLP:conf/acl/ShnarchGHDCAS22</t>
  </si>
  <si>
    <t>DBLP:conf/starsem/SlobodkinCA22</t>
  </si>
  <si>
    <t>DBLP:conf/lrec/Lertvittayakumjorn22</t>
  </si>
  <si>
    <t>DBLP:conf/emnlp/HonovichCANSA21</t>
  </si>
  <si>
    <t>DBLP:conf/naacl/SlobodkinCA21</t>
  </si>
  <si>
    <t>DBLP:conf/emnlp/ShnarchCMAS20</t>
  </si>
  <si>
    <t>DBLP:conf/emnlp/Ein-DorHGSDCDAK20</t>
  </si>
  <si>
    <t>DBLP:conf/iclr/ChoshenFAA20</t>
  </si>
  <si>
    <t>DBLP:conf/aaai/Ein-DorSDHSGAGC20</t>
  </si>
  <si>
    <t>DBLP:conf/conll/ChoshenA19</t>
  </si>
  <si>
    <t>DBLP:conf/bea/KantorKCCLTMS19</t>
  </si>
  <si>
    <t>DBLP:conf/acl/ChoshenEHSA19</t>
  </si>
  <si>
    <t>DBLP:conf/acl/GleizeSCDMAS19</t>
  </si>
  <si>
    <t>DBLP:conf/semeval/HershcovichACSR19</t>
  </si>
  <si>
    <t>DBLP:conf/acl/AbendC18</t>
  </si>
  <si>
    <t xml:space="preserve"> DBLP:conf/acl/AbendC18a</t>
  </si>
  <si>
    <t>DBLP:conf/naacl/ChoshenA18</t>
  </si>
  <si>
    <t xml:space="preserve"> DBLP:conf/iclr/FoxCL18</t>
  </si>
  <si>
    <t>Choshen2022FusingFM</t>
  </si>
  <si>
    <t>DBLP:conf/conll/ChoshenA22</t>
  </si>
  <si>
    <t>DBLP:conf/naacl/PerlitzBGAESSSC24</t>
  </si>
  <si>
    <t>warstadt2024insights</t>
  </si>
  <si>
    <t>yadav2024survey</t>
  </si>
  <si>
    <t>ifergan2024beneath</t>
  </si>
  <si>
    <t>fandina2024can</t>
  </si>
  <si>
    <t>Bib</t>
  </si>
  <si>
    <t>inter\eval</t>
  </si>
  <si>
    <t>open</t>
  </si>
  <si>
    <t>Allowing</t>
  </si>
  <si>
    <t>CoLM</t>
  </si>
  <si>
    <t>Unforgettable Generalization in Language Models</t>
  </si>
  <si>
    <t>Eric Zhang, Leshem Chosen, Jacob Andreas</t>
  </si>
  <si>
    <t>zhang2024unforgettable</t>
  </si>
  <si>
    <t>Compeft: Compression for communicating parameter efficient updates via sparsification and quantization</t>
  </si>
  <si>
    <t>Prateek Yadav, Leshem Choshen, Colin Raffel, Mohit Bansal</t>
  </si>
  <si>
    <t>Other</t>
  </si>
  <si>
    <t>Enabling Low Budget Research</t>
  </si>
  <si>
    <t>NLP</t>
  </si>
  <si>
    <t>Methods</t>
  </si>
  <si>
    <t>Resources</t>
  </si>
  <si>
    <t>Language&amp;Cognition</t>
  </si>
  <si>
    <t>The Science of Deep Learning</t>
  </si>
  <si>
    <t>bandel2024unitxt</t>
  </si>
  <si>
    <t>warstadt2023findings</t>
  </si>
  <si>
    <t xml:space="preserve"> Alex Warstadt, Aaron Mueller, Leshem Choshen, Ethan Gotlieb Wilcox, Chengxu Zhuang, Adina Williams, Ryan Cotterell, Tal Linzen</t>
  </si>
  <si>
    <t xml:space="preserve"> Insights from the first BabyLM Challenge: Training sample efficient language models on a developmentally plausible corpus</t>
  </si>
  <si>
    <t>CoNLL2023</t>
  </si>
  <si>
    <t>Findings of the {B}aby{LM} Challenge: Sample-Efficient Pretraining on Developmentally Plausible Corpora</t>
  </si>
  <si>
    <t>knots</t>
  </si>
  <si>
    <t>Pratik, Ramesh and George, Stoica and Boglarka, Ecsedi and Leshem, Choshen and Judy, Hoffman</t>
  </si>
  <si>
    <t>choshen2024navigating</t>
  </si>
  <si>
    <t>Navigating the Modern Evaluation Landscape: Considerations in Benchmarks and Frameworks for Large Language Models (LLMs)</t>
  </si>
  <si>
    <t>Choshen, Leshem and Gera, Ariel and Perlitz, Yotam and Shmueli-Scheuer, Michal and Stanovsky, Gabriel</t>
  </si>
  <si>
    <t>Sloth: scaling laws for LLM skills to predict multi-benchmark performance across families</t>
  </si>
  <si>
    <t>Felipe Maia Polo, Seamus Somerstep, Leshem Choshen, Yuekai Sun, Mikhail Yurochkin</t>
  </si>
  <si>
    <t>A Hitchhiker's Guide to Scaling Law Estimation</t>
  </si>
  <si>
    <t>Leshem Choshen, Yang Zhang, Jacob Andreas</t>
  </si>
  <si>
    <t>choshen2024hitchhiker</t>
  </si>
  <si>
    <t>LiveXiv - A Multi-Modal live benchmark based on Arxiv papers content</t>
  </si>
  <si>
    <t>Nimrod Shabtay, Felipe Maia Polo, Sivan Doveh, Wei Lin, Muhammad Jehanzeb Mirza, Leshem Choshen, Mikhail Yurochkin, Yuekai Sun, Assaf Arbelle, Leonid Karlinsky, Raja Giryes</t>
  </si>
  <si>
    <t>polo2024sloth</t>
  </si>
  <si>
    <t>Scaling Laws</t>
  </si>
  <si>
    <t>Recycling</t>
  </si>
  <si>
    <t>Efficient Pretraining Research</t>
  </si>
  <si>
    <t>Human-Model Interaction</t>
  </si>
  <si>
    <t>Debating</t>
  </si>
  <si>
    <t>Small Models</t>
  </si>
  <si>
    <t>Venue</t>
  </si>
  <si>
    <t>Efficient Evaluation</t>
  </si>
  <si>
    <t>Arxiv</t>
  </si>
  <si>
    <t>ICLR</t>
  </si>
  <si>
    <t>Review</t>
  </si>
  <si>
    <t>Workshop-paper</t>
  </si>
  <si>
    <t>Global mmlu: Understanding and addressing cultural and linguistic biases in multilingual evaluation</t>
  </si>
  <si>
    <t>NAACL2025</t>
  </si>
  <si>
    <t>Do these LLM benchmarks agree? Fixing benchmark evaluation with BenchBench</t>
  </si>
  <si>
    <t>perlitz2024llm</t>
  </si>
  <si>
    <r>
      <t xml:space="preserve">Yotam Perlitz, Ariel Gera, Ofir Arviv, Asaf </t>
    </r>
    <r>
      <rPr>
        <sz val="10"/>
        <color rgb="FF222222"/>
        <rFont val="Arial"/>
        <family val="2"/>
      </rPr>
      <t>Yehudai, Elron Bandel, Eyal Shnarch, Michal Shmueli-Scheuer, Leshem Choshen</t>
    </r>
  </si>
  <si>
    <t>Elements of World Knowledge (EWOK): A cognition-inspired framework for evaluating basic world knowledge in language models</t>
  </si>
  <si>
    <t>Model merging with SVD to tie the Knots</t>
  </si>
  <si>
    <t>Michael Y Hu, Aaron Mueller, Candace Ross, Adina Williams, Tal Linzen, Chengxu Zhuang, Ryan Cotterell, Leshem Choshen, Alex Warstadt, Ethan Gotlieb Wilcox</t>
  </si>
  <si>
    <t>hu2024findingssecondbabylmchallenge</t>
  </si>
  <si>
    <t>Findings of the Second BabyLM Challenge: Sample-Efficient Pretraining on Developmentally Plausible Corpora</t>
  </si>
  <si>
    <t>Llm merging: Building llms efficiently through merging</t>
  </si>
  <si>
    <t>Enhancing the Transformer Decoder with Transition-based Syntax‏</t>
  </si>
  <si>
    <t>TACL</t>
  </si>
  <si>
    <t>gabrielsson2025compress</t>
  </si>
  <si>
    <t>poloefficient</t>
  </si>
  <si>
    <t>EMNLP</t>
  </si>
  <si>
    <t>schwartz2024numerologic</t>
  </si>
  <si>
    <t>ACL</t>
  </si>
  <si>
    <t>TMLR</t>
  </si>
  <si>
    <t>yadav2025compeft</t>
  </si>
  <si>
    <t>shabtay2025livexiv</t>
  </si>
  <si>
    <t xml:space="preserve">ICLR* </t>
  </si>
  <si>
    <t>Findings of the second BabyLM challenge: Sample-efficient pretraining on developmentally plausible corpora</t>
  </si>
  <si>
    <t>don-yehiya-etal-2025-sharelm</t>
  </si>
  <si>
    <t>hu-etal-2024-findings</t>
  </si>
  <si>
    <t>The mighty torr: A benchmark for table reasoning and robustness</t>
  </si>
  <si>
    <t>arXiv</t>
  </si>
  <si>
    <t>Dove: A large-scale multi-dimensional predictions dataset towards meaningful llm evaluation</t>
  </si>
  <si>
    <t>habba-etal-2025-dove</t>
  </si>
  <si>
    <t>Neurips 2023 llm efficiency fine-tuning competition</t>
  </si>
  <si>
    <t>saroufim2025neurips</t>
  </si>
  <si>
    <t>Pretraining Language Models for Diachronic Linguistic Change Discovery</t>
  </si>
  <si>
    <t>TextArena</t>
  </si>
  <si>
    <t>Warning, incomplete?</t>
  </si>
  <si>
    <t>guertler2025textarena</t>
  </si>
  <si>
    <t>fittschen2025pretraining</t>
  </si>
  <si>
    <t>Can Gradient Descent Simulate Prompting?</t>
  </si>
  <si>
    <t>zhang2025can</t>
  </si>
  <si>
    <t>LLM Hypnosis: Exploiting User Feedback for Unauthorized Knowledge Injection to All Users</t>
  </si>
  <si>
    <t>Arxiv^</t>
  </si>
  <si>
    <t>hilel2025llm</t>
  </si>
  <si>
    <t>Zipnn: Lossless compression for ai models</t>
  </si>
  <si>
    <t>JML</t>
  </si>
  <si>
    <t>zipnn</t>
  </si>
  <si>
    <t>CRISP: Complex Reasoning with Interpretable Step-based Plans</t>
  </si>
  <si>
    <t>Beyond binary rewards: Training lms to reason about their uncertainty</t>
  </si>
  <si>
    <t xml:space="preserve">Nature Machine Intelligence^ </t>
  </si>
  <si>
    <t>ArXiv</t>
  </si>
  <si>
    <t>CLOUD (IEEE)</t>
  </si>
  <si>
    <t>ashurytahan2025mightytorrbenchmarktable</t>
  </si>
  <si>
    <t>EACL</t>
  </si>
  <si>
    <t>damani2026beyond</t>
  </si>
  <si>
    <t>vetzler2025crisp</t>
  </si>
  <si>
    <t>BabyBabelLM: A Multilingual Benchmark of Developmentally Plausible Training Data</t>
  </si>
  <si>
    <t>Need to update bib when anthology has it (currently manual</t>
  </si>
  <si>
    <t>Global piqa: Evaluating physical commonsense reasoning across 100+ languages and cultures</t>
  </si>
  <si>
    <t>chang2025globalpiqaevaluatingphysical</t>
  </si>
  <si>
    <t>jumelet2025babybabellm</t>
  </si>
  <si>
    <t>Findings of the Third BabyLM Challenge: Accelerating Language Modeling Research with Cognitively Plausible Data</t>
  </si>
  <si>
    <t>charpentier-etal-2025-findings</t>
  </si>
  <si>
    <t xml:space="preserve">TMLR </t>
  </si>
  <si>
    <t>A Latent Variable Framework for Scaling Laws in Large Language Models</t>
  </si>
  <si>
    <t>suarez2026commonlid</t>
  </si>
  <si>
    <t>CommonLID: Re-evaluating State-of-the-Art Language Identification Performance on Web Data</t>
  </si>
  <si>
    <t>Will it Merge? On The Causes of Model Mergeability</t>
  </si>
  <si>
    <t>rahamim2026will</t>
  </si>
  <si>
    <t>ErrorMap and ErrorAtlas: Charting the Failure Landscape of Large Language Models</t>
  </si>
  <si>
    <t>Robustness as an Emergent Property of Task Performance</t>
  </si>
  <si>
    <t>ashury2026robustness</t>
  </si>
  <si>
    <t>ashury2026errormap</t>
  </si>
  <si>
    <t>tam2024llm</t>
  </si>
  <si>
    <t>wilcox2024bigger</t>
  </si>
  <si>
    <t>singh2024global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</si>
</sst>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theme="1"/>
      <name val="Aptos Narrow"/>
      <family val="2"/>
      <scheme val="minor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3.95"/>
      <color rgb="FF000000"/>
      <name val="Times New Roman"/>
      <family val="1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21.6"/>
      <color rgb="FF000000"/>
      <name val="Lucida Grande"/>
      <family val="2"/>
    </font>
    <font>
      <sz val="14.4"/>
      <color rgb="FF000000"/>
      <name val="Lucida Grande"/>
      <family val="2"/>
    </font>
    <font>
      <sz val="14"/>
      <color rgb="FF000000"/>
      <name val="Lucida Grande"/>
      <family val="2"/>
    </font>
    <font>
      <sz val="13"/>
      <color rgb="FF3794FF"/>
      <name val="Var(--vscode-repl-font-family)"/>
    </font>
    <font>
      <sz val="12"/>
      <color rgb="FFCCCCCC"/>
      <name val="Menlo"/>
      <family val="2"/>
    </font>
    <font>
      <sz val="13"/>
      <color rgb="FF222222"/>
      <name val="Arial"/>
      <family val="2"/>
    </font>
    <font>
      <sz val="12"/>
      <color rgb="FFCE9178"/>
      <name val="Monaco"/>
      <family val="2"/>
    </font>
    <font>
      <sz val="12"/>
      <color rgb="FF4EC9B0"/>
      <name val="Menlo"/>
      <family val="2"/>
    </font>
    <font>
      <sz val="10"/>
      <color rgb="FF222222"/>
      <name val="Arial"/>
      <family val="2"/>
    </font>
    <font>
      <sz val="12"/>
      <color rgb="FF222222"/>
      <name val="Arial"/>
      <family val="2"/>
    </font>
    <font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4" fillId="0" borderId="0" xfId="1"/>
    <xf numFmtId="0" fontId="3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2" fontId="0" fillId="0" borderId="0" xfId="0" applyNumberForma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Commulative!$F$1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Commulative!$F$2:$F$72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B-E64D-8A66-49EA06EAB129}"/>
            </c:ext>
          </c:extLst>
        </c:ser>
        <c:ser>
          <c:idx val="1"/>
          <c:order val="1"/>
          <c:tx>
            <c:strRef>
              <c:f>Commulative!$G$1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Commulative!$G$2:$G$72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B-E64D-8A66-49EA06EAB129}"/>
            </c:ext>
          </c:extLst>
        </c:ser>
        <c:ser>
          <c:idx val="2"/>
          <c:order val="2"/>
          <c:tx>
            <c:strRef>
              <c:f>Commulative!$H$1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Commulative!$H$2:$H$72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B-E64D-8A66-49EA06EAB129}"/>
            </c:ext>
          </c:extLst>
        </c:ser>
        <c:ser>
          <c:idx val="3"/>
          <c:order val="3"/>
          <c:tx>
            <c:strRef>
              <c:f>Commulative!$I$1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Commulative!$I$2:$I$72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2B-E64D-8A66-49EA06EAB129}"/>
            </c:ext>
          </c:extLst>
        </c:ser>
        <c:ser>
          <c:idx val="4"/>
          <c:order val="4"/>
          <c:tx>
            <c:strRef>
              <c:f>Commulative!$J$1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Commulative!$J$2:$J$72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2B-E64D-8A66-49EA06EAB129}"/>
            </c:ext>
          </c:extLst>
        </c:ser>
        <c:ser>
          <c:idx val="5"/>
          <c:order val="5"/>
          <c:tx>
            <c:strRef>
              <c:f>Commulative!$K$1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Commulative!$K$2:$K$72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2B-E64D-8A66-49EA06EAB129}"/>
            </c:ext>
          </c:extLst>
        </c:ser>
        <c:ser>
          <c:idx val="6"/>
          <c:order val="6"/>
          <c:tx>
            <c:strRef>
              <c:f>Commulative!$L$1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2B-E64D-8A66-49EA06EAB129}"/>
            </c:ext>
          </c:extLst>
        </c:ser>
        <c:ser>
          <c:idx val="7"/>
          <c:order val="7"/>
          <c:tx>
            <c:strRef>
              <c:f>Commulative!$M$1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32B-E64D-8A66-49EA06EAB129}"/>
            </c:ext>
          </c:extLst>
        </c:ser>
        <c:ser>
          <c:idx val="8"/>
          <c:order val="8"/>
          <c:tx>
            <c:strRef>
              <c:f>Commulative!$N$1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2B-E64D-8A66-49EA06EAB129}"/>
            </c:ext>
          </c:extLst>
        </c:ser>
        <c:ser>
          <c:idx val="9"/>
          <c:order val="9"/>
          <c:tx>
            <c:strRef>
              <c:f>Commulative!$O$1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2B-E64D-8A66-49EA06EAB129}"/>
            </c:ext>
          </c:extLst>
        </c:ser>
        <c:ser>
          <c:idx val="10"/>
          <c:order val="10"/>
          <c:tx>
            <c:strRef>
              <c:f>Commulative!$P$1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32B-E64D-8A66-49EA06EAB129}"/>
            </c:ext>
          </c:extLst>
        </c:ser>
        <c:ser>
          <c:idx val="11"/>
          <c:order val="11"/>
          <c:tx>
            <c:strRef>
              <c:f>Commulative!$Q$1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32B-E64D-8A66-49EA06EAB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2328655"/>
        <c:axId val="1851877183"/>
      </c:lineChart>
      <c:catAx>
        <c:axId val="18523286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877183"/>
        <c:crosses val="autoZero"/>
        <c:auto val="1"/>
        <c:lblAlgn val="ctr"/>
        <c:lblOffset val="100"/>
        <c:noMultiLvlLbl val="0"/>
      </c:catAx>
      <c:valAx>
        <c:axId val="185187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3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Normalized!$F$1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95-694A-9DDB-8A09248A55EB}"/>
            </c:ext>
          </c:extLst>
        </c:ser>
        <c:ser>
          <c:idx val="2"/>
          <c:order val="1"/>
          <c:tx>
            <c:strRef>
              <c:f>Normalized!$G$1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95-694A-9DDB-8A09248A55EB}"/>
            </c:ext>
          </c:extLst>
        </c:ser>
        <c:ser>
          <c:idx val="3"/>
          <c:order val="2"/>
          <c:tx>
            <c:strRef>
              <c:f>Normalized!$H$1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95-694A-9DDB-8A09248A55EB}"/>
            </c:ext>
          </c:extLst>
        </c:ser>
        <c:ser>
          <c:idx val="4"/>
          <c:order val="3"/>
          <c:tx>
            <c:strRef>
              <c:f>Normalized!$I$1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95-694A-9DDB-8A09248A55EB}"/>
            </c:ext>
          </c:extLst>
        </c:ser>
        <c:ser>
          <c:idx val="5"/>
          <c:order val="4"/>
          <c:tx>
            <c:strRef>
              <c:f>Normalized!$J$1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C95-694A-9DDB-8A09248A55EB}"/>
            </c:ext>
          </c:extLst>
        </c:ser>
        <c:ser>
          <c:idx val="6"/>
          <c:order val="5"/>
          <c:tx>
            <c:strRef>
              <c:f>Normalized!$K$1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C95-694A-9DDB-8A09248A55EB}"/>
            </c:ext>
          </c:extLst>
        </c:ser>
        <c:ser>
          <c:idx val="7"/>
          <c:order val="6"/>
          <c:tx>
            <c:strRef>
              <c:f>Normalized!$L$1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C95-694A-9DDB-8A09248A55EB}"/>
            </c:ext>
          </c:extLst>
        </c:ser>
        <c:ser>
          <c:idx val="8"/>
          <c:order val="7"/>
          <c:tx>
            <c:strRef>
              <c:f>Normalized!$M$1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C95-694A-9DDB-8A09248A55EB}"/>
            </c:ext>
          </c:extLst>
        </c:ser>
        <c:ser>
          <c:idx val="9"/>
          <c:order val="8"/>
          <c:tx>
            <c:strRef>
              <c:f>Normalized!$N$1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C95-694A-9DDB-8A09248A55EB}"/>
            </c:ext>
          </c:extLst>
        </c:ser>
        <c:ser>
          <c:idx val="10"/>
          <c:order val="9"/>
          <c:tx>
            <c:strRef>
              <c:f>Normalized!$O$1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C95-694A-9DDB-8A09248A55EB}"/>
            </c:ext>
          </c:extLst>
        </c:ser>
        <c:ser>
          <c:idx val="11"/>
          <c:order val="10"/>
          <c:tx>
            <c:strRef>
              <c:f>Normalized!$P$1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C95-694A-9DDB-8A09248A55EB}"/>
            </c:ext>
          </c:extLst>
        </c:ser>
        <c:ser>
          <c:idx val="12"/>
          <c:order val="11"/>
          <c:tx>
            <c:strRef>
              <c:f>Normalized!$Q$1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C95-694A-9DDB-8A09248A5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676320"/>
        <c:axId val="541288415"/>
      </c:lineChart>
      <c:catAx>
        <c:axId val="57067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88415"/>
        <c:crosses val="autoZero"/>
        <c:auto val="1"/>
        <c:lblAlgn val="ctr"/>
        <c:lblOffset val="100"/>
        <c:noMultiLvlLbl val="0"/>
      </c:catAx>
      <c:valAx>
        <c:axId val="54128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0676320"/>
        <c:crosses val="autoZero"/>
        <c:crossBetween val="between"/>
      </c:valAx>
      <c:spPr>
        <a:noFill/>
        <a:ln>
          <a:noFill/>
        </a:ln>
        <a:effectLst>
          <a:softEdge rad="586200"/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45</xdr:row>
      <xdr:rowOff>0</xdr:rowOff>
    </xdr:from>
    <xdr:to>
      <xdr:col>22</xdr:col>
      <xdr:colOff>520700</xdr:colOff>
      <xdr:row>58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7EEEB0-D852-1FE1-DEB5-916F634A1E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596900</xdr:colOff>
      <xdr:row>26</xdr:row>
      <xdr:rowOff>25400</xdr:rowOff>
    </xdr:from>
    <xdr:to>
      <xdr:col>31</xdr:col>
      <xdr:colOff>406400</xdr:colOff>
      <xdr:row>67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238D2B-0684-3B77-2ED5-ACC8C70DD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rxiv.org/abs/2408.07057" TargetMode="External"/><Relationship Id="rId18" Type="http://schemas.openxmlformats.org/officeDocument/2006/relationships/hyperlink" Target="https://arxiv.org/abs/2402.16842" TargetMode="External"/><Relationship Id="rId26" Type="http://schemas.openxmlformats.org/officeDocument/2006/relationships/hyperlink" Target="https://openreview.net/profile?email=leshem.choshen%40mail.huji.ac.il" TargetMode="External"/><Relationship Id="rId39" Type="http://schemas.openxmlformats.org/officeDocument/2006/relationships/hyperlink" Target="https://scholar.google.com/citations?view_op=view_citation&amp;hl=en&amp;user=8b8IhUYAAAAJ&amp;sortby=pubdate&amp;citation_for_view=8b8IhUYAAAAJ:KxtntwgDAa4C" TargetMode="External"/><Relationship Id="rId21" Type="http://schemas.openxmlformats.org/officeDocument/2006/relationships/hyperlink" Target="https://openreview.net/forum?id=jvNVmkGxiU&amp;referrer=%5BAuthor%20Console%5D(%2Fgroup%3Fid%3DEMNLP%2F2023%2FConference%2FAuthors%23your-submissions)" TargetMode="External"/><Relationship Id="rId34" Type="http://schemas.openxmlformats.org/officeDocument/2006/relationships/hyperlink" Target="https://scholar.google.com/citations?view_op=view_citation&amp;hl=en&amp;user=8b8IhUYAAAAJ&amp;sortby=pubdate&amp;citation_for_view=8b8IhUYAAAAJ:abG-DnoFyZgC" TargetMode="External"/><Relationship Id="rId42" Type="http://schemas.openxmlformats.org/officeDocument/2006/relationships/hyperlink" Target="https://scholar.google.com/citations?view_op=view_citation&amp;hl=en&amp;user=8b8IhUYAAAAJ&amp;sortby=pubdate&amp;citation_for_view=8b8IhUYAAAAJ:OU6Ihb5iCvQC" TargetMode="External"/><Relationship Id="rId47" Type="http://schemas.openxmlformats.org/officeDocument/2006/relationships/hyperlink" Target="mailto:BabyLM@EMNLP" TargetMode="External"/><Relationship Id="rId50" Type="http://schemas.openxmlformats.org/officeDocument/2006/relationships/hyperlink" Target="https://scholar.google.com/citations?view_op=view_citation&amp;hl=en&amp;user=8b8IhUYAAAAJ&amp;sortby=pubdate&amp;citation_for_view=8b8IhUYAAAAJ:sSrBHYA8nusC" TargetMode="External"/><Relationship Id="rId7" Type="http://schemas.openxmlformats.org/officeDocument/2006/relationships/hyperlink" Target="https://scholar.google.com/citations?view_op=view_citation&amp;hl=en&amp;user=8b8IhUYAAAAJ&amp;sortby=pubdate&amp;citation_for_view=8b8IhUYAAAAJ:3s1wT3WcHBgC" TargetMode="External"/><Relationship Id="rId2" Type="http://schemas.openxmlformats.org/officeDocument/2006/relationships/hyperlink" Target="https://osf.io/preprints/psyarxiv/rfwgd" TargetMode="External"/><Relationship Id="rId16" Type="http://schemas.openxmlformats.org/officeDocument/2006/relationships/hyperlink" Target="https://arxiv.org/abs/2404.18923" TargetMode="External"/><Relationship Id="rId29" Type="http://schemas.openxmlformats.org/officeDocument/2006/relationships/hyperlink" Target="https://arxiv.org/abs/2407.13696" TargetMode="External"/><Relationship Id="rId11" Type="http://schemas.openxmlformats.org/officeDocument/2006/relationships/hyperlink" Target="https://arxiv.org/abs/2405.17202" TargetMode="External"/><Relationship Id="rId24" Type="http://schemas.openxmlformats.org/officeDocument/2006/relationships/hyperlink" Target="https://scholar.google.com/citations?view_op=view_citation&amp;hl=en&amp;user=8b8IhUYAAAAJ&amp;sortby=pubdate&amp;citation_for_view=8b8IhUYAAAAJ:YOwf2qJgpHMC" TargetMode="External"/><Relationship Id="rId32" Type="http://schemas.openxmlformats.org/officeDocument/2006/relationships/hyperlink" Target="https://scholar.google.co.il/citations?view_op=view_citation&amp;hl=ar&amp;user=8b8IhUYAAAAJ&amp;cstart=20&amp;pagesize=80&amp;citation_for_view=8b8IhUYAAAAJ:9ZlFYXVOiuMC" TargetMode="External"/><Relationship Id="rId37" Type="http://schemas.openxmlformats.org/officeDocument/2006/relationships/hyperlink" Target="https://scholar.google.com/citations?view_op=view_citation&amp;hl=en&amp;user=8b8IhUYAAAAJ&amp;sortby=pubdate&amp;citation_for_view=8b8IhUYAAAAJ:nb7KW1ujOQ8C" TargetMode="External"/><Relationship Id="rId40" Type="http://schemas.openxmlformats.org/officeDocument/2006/relationships/hyperlink" Target="https://scholar.google.com/citations?view_op=view_citation&amp;hl=en&amp;user=8b8IhUYAAAAJ&amp;sortby=pubdate&amp;citation_for_view=8b8IhUYAAAAJ:dshw04ExmUIC" TargetMode="External"/><Relationship Id="rId45" Type="http://schemas.openxmlformats.org/officeDocument/2006/relationships/hyperlink" Target="https://scholar.google.com/citations?view_op=view_citation&amp;hl=en&amp;user=8b8IhUYAAAAJ&amp;sortby=pubdate&amp;citation_for_view=8b8IhUYAAAAJ:K3LRdlH-MEoC" TargetMode="External"/><Relationship Id="rId5" Type="http://schemas.openxmlformats.org/officeDocument/2006/relationships/hyperlink" Target="https://arxiv.org/abs/2407.10944" TargetMode="External"/><Relationship Id="rId15" Type="http://schemas.openxmlformats.org/officeDocument/2006/relationships/hyperlink" Target="https://arxiv.org/abs/2401.14019" TargetMode="External"/><Relationship Id="rId23" Type="http://schemas.openxmlformats.org/officeDocument/2006/relationships/hyperlink" Target="https://arxiv.org/abs/2204.03044" TargetMode="External"/><Relationship Id="rId28" Type="http://schemas.openxmlformats.org/officeDocument/2006/relationships/hyperlink" Target="https://scholar.google.com/citations?view_op=view_citation&amp;hl=en&amp;user=8b8IhUYAAAAJ&amp;cstart=20&amp;pagesize=80&amp;citation_for_view=8b8IhUYAAAAJ:j3f4tGmQtD8C" TargetMode="External"/><Relationship Id="rId36" Type="http://schemas.openxmlformats.org/officeDocument/2006/relationships/hyperlink" Target="https://scholar.google.com/citations?view_op=view_citation&amp;hl=en&amp;user=8b8IhUYAAAAJ&amp;sortby=pubdate&amp;citation_for_view=8b8IhUYAAAAJ:1sJd4Hv_s6UC" TargetMode="External"/><Relationship Id="rId49" Type="http://schemas.openxmlformats.org/officeDocument/2006/relationships/hyperlink" Target="https://scholar.google.com/citations?view_op=view_citation&amp;hl=en&amp;user=8b8IhUYAAAAJ&amp;sortby=pubdate&amp;citation_for_view=8b8IhUYAAAAJ:B3FOqHPlNUQC" TargetMode="External"/><Relationship Id="rId10" Type="http://schemas.openxmlformats.org/officeDocument/2006/relationships/hyperlink" Target="https://arxiv.org/abs/2404.00459" TargetMode="External"/><Relationship Id="rId19" Type="http://schemas.openxmlformats.org/officeDocument/2006/relationships/hyperlink" Target="https://scholar.google.co.il/citations?view_op=view_citation&amp;hl=ar&amp;user=n9iywfAAAAAJ&amp;citation_for_view=n9iywfAAAAAJ:Y0pCki6q_DkC" TargetMode="External"/><Relationship Id="rId31" Type="http://schemas.openxmlformats.org/officeDocument/2006/relationships/hyperlink" Target="https://scholar.google.com/citations?view_op=view_citation&amp;hl=en&amp;user=8b8IhUYAAAAJ&amp;cstart=20&amp;pagesize=80&amp;sortby=pubdate&amp;citation_for_view=8b8IhUYAAAAJ:HoB7MX3m0LUC" TargetMode="External"/><Relationship Id="rId44" Type="http://schemas.openxmlformats.org/officeDocument/2006/relationships/hyperlink" Target="https://scholar.google.com/citations?view_op=view_citation&amp;hl=en&amp;user=8b8IhUYAAAAJ&amp;sortby=pubdate&amp;citation_for_view=8b8IhUYAAAAJ:738O_yMBCRsC" TargetMode="External"/><Relationship Id="rId4" Type="http://schemas.openxmlformats.org/officeDocument/2006/relationships/hyperlink" Target="https://arxiv.org/abs/2407.13696" TargetMode="External"/><Relationship Id="rId9" Type="http://schemas.openxmlformats.org/officeDocument/2006/relationships/hyperlink" Target="https://arxiv.org/abs/2404.15198" TargetMode="External"/><Relationship Id="rId14" Type="http://schemas.openxmlformats.org/officeDocument/2006/relationships/hyperlink" Target="https://arxiv.org/abs/2402.07891" TargetMode="External"/><Relationship Id="rId22" Type="http://schemas.openxmlformats.org/officeDocument/2006/relationships/hyperlink" Target="https://scholar.google.com/citations?view_op=view_citation&amp;hl=en&amp;user=8b8IhUYAAAAJ&amp;sortby=pubdate&amp;citation_for_view=8b8IhUYAAAAJ:qxL8FJ1GzNcC" TargetMode="External"/><Relationship Id="rId27" Type="http://schemas.openxmlformats.org/officeDocument/2006/relationships/hyperlink" Target="https://scholar.google.com/citations?view_op=view_citation&amp;hl=en&amp;user=8b8IhUYAAAAJ&amp;sortby=pubdate&amp;citation_for_view=8b8IhUYAAAAJ:zA6iFVUQeVQC" TargetMode="External"/><Relationship Id="rId30" Type="http://schemas.openxmlformats.org/officeDocument/2006/relationships/hyperlink" Target="https://arxiv.org/abs/2405.09605" TargetMode="External"/><Relationship Id="rId35" Type="http://schemas.openxmlformats.org/officeDocument/2006/relationships/hyperlink" Target="https://scholar.google.com/citations?view_op=view_citation&amp;hl=en&amp;user=8b8IhUYAAAAJ&amp;sortby=pubdate&amp;citation_for_view=8b8IhUYAAAAJ:xtRiw3GOFMkC" TargetMode="External"/><Relationship Id="rId43" Type="http://schemas.openxmlformats.org/officeDocument/2006/relationships/hyperlink" Target="https://scholar.google.com/citations?view_op=view_citation&amp;hl=en&amp;user=8b8IhUYAAAAJ&amp;sortby=pubdate&amp;citation_for_view=8b8IhUYAAAAJ:p2g8aNsByqUC" TargetMode="External"/><Relationship Id="rId48" Type="http://schemas.openxmlformats.org/officeDocument/2006/relationships/hyperlink" Target="https://scholar.google.com/citations?view_op=view_citation&amp;hl=en&amp;user=8b8IhUYAAAAJ&amp;sortby=pubdate&amp;citation_for_view=8b8IhUYAAAAJ:4fKUyHm3Qg0C" TargetMode="External"/><Relationship Id="rId8" Type="http://schemas.openxmlformats.org/officeDocument/2006/relationships/hyperlink" Target="https://scholar.google.com/citations?view_op=view_citation&amp;hl=en&amp;user=8b8IhUYAAAAJ&amp;sortby=pubdate&amp;citation_for_view=8b8IhUYAAAAJ:ZHo1McVdvXMC" TargetMode="External"/><Relationship Id="rId51" Type="http://schemas.openxmlformats.org/officeDocument/2006/relationships/hyperlink" Target="https://scholar.google.com/citations?view_op=view_citation&amp;hl=en&amp;user=8b8IhUYAAAAJ&amp;sortby=pubdate&amp;citation_for_view=8b8IhUYAAAAJ:5Ul4iDaHHb8C" TargetMode="External"/><Relationship Id="rId3" Type="http://schemas.openxmlformats.org/officeDocument/2006/relationships/hyperlink" Target="https://arxiv.org/abs/2407.00066" TargetMode="External"/><Relationship Id="rId12" Type="http://schemas.openxmlformats.org/officeDocument/2006/relationships/hyperlink" Target="https://arxiv.org/abs/2405.09605" TargetMode="External"/><Relationship Id="rId17" Type="http://schemas.openxmlformats.org/officeDocument/2006/relationships/hyperlink" Target="https://arxiv.org/abs/2402.14992" TargetMode="External"/><Relationship Id="rId25" Type="http://schemas.openxmlformats.org/officeDocument/2006/relationships/hyperlink" Target="https://scholar.google.com/citations?view_op=view_citation&amp;hl=en&amp;user=8b8IhUYAAAAJ&amp;sortby=pubdate&amp;citation_for_view=8b8IhUYAAAAJ:ULOm3_A8WrAC" TargetMode="External"/><Relationship Id="rId33" Type="http://schemas.openxmlformats.org/officeDocument/2006/relationships/hyperlink" Target="https://scholar.google.com/citations?view_op=view_citation&amp;hl=en&amp;user=8b8IhUYAAAAJ&amp;sortby=pubdate&amp;citation_for_view=8b8IhUYAAAAJ:D03iK_w7-QYC" TargetMode="External"/><Relationship Id="rId38" Type="http://schemas.openxmlformats.org/officeDocument/2006/relationships/hyperlink" Target="https://scholar.google.com/citations?view_op=view_citation&amp;hl=en&amp;user=8b8IhUYAAAAJ&amp;sortby=pubdate&amp;citation_for_view=8b8IhUYAAAAJ:P5F9QuxV20EC" TargetMode="External"/><Relationship Id="rId46" Type="http://schemas.openxmlformats.org/officeDocument/2006/relationships/hyperlink" Target="https://scholar.google.com/citations?view_op=view_citation&amp;hl=en&amp;user=8b8IhUYAAAAJ&amp;sortby=pubdate&amp;citation_for_view=8b8IhUYAAAAJ:tOudhMTPpwUC" TargetMode="External"/><Relationship Id="rId20" Type="http://schemas.openxmlformats.org/officeDocument/2006/relationships/hyperlink" Target="https://arxiv.org/abs/2407.21530" TargetMode="External"/><Relationship Id="rId41" Type="http://schemas.openxmlformats.org/officeDocument/2006/relationships/hyperlink" Target="https://scholar.google.com/citations?view_op=view_citation&amp;hl=en&amp;user=8b8IhUYAAAAJ&amp;sortby=pubdate&amp;citation_for_view=8b8IhUYAAAAJ:cFHS6HbyZ2cC" TargetMode="External"/><Relationship Id="rId1" Type="http://schemas.openxmlformats.org/officeDocument/2006/relationships/hyperlink" Target="https://openreview.net/forum?id=rcFyU93Oa7&amp;referrer=%5BAuthor%20Console%5D(%2Fgroup%3Fid%3DEMNLP%2F2023%2FConference%2FAuthors%23your-submissions)" TargetMode="External"/><Relationship Id="rId6" Type="http://schemas.openxmlformats.org/officeDocument/2006/relationships/hyperlink" Target="https://arxiv.org/abs/2408.0829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7768-849A-7540-AC05-5E1BE041CC8E}">
  <dimension ref="A1:AK138"/>
  <sheetViews>
    <sheetView tabSelected="1" topLeftCell="B1" workbookViewId="0">
      <pane ySplit="1" topLeftCell="A50" activePane="bottomLeft" state="frozen"/>
      <selection pane="bottomLeft" activeCell="E79" sqref="E79"/>
    </sheetView>
  </sheetViews>
  <sheetFormatPr baseColWidth="10" defaultRowHeight="16"/>
  <cols>
    <col min="4" max="4" width="29.5" customWidth="1"/>
    <col min="5" max="5" width="38" customWidth="1"/>
    <col min="6" max="6" width="12.83203125" customWidth="1"/>
    <col min="13" max="13" width="20.33203125" customWidth="1"/>
    <col min="14" max="15" width="14" customWidth="1"/>
    <col min="16" max="16" width="15" customWidth="1"/>
    <col min="21" max="21" width="10.5" customWidth="1"/>
    <col min="22" max="22" width="13.6640625" customWidth="1"/>
    <col min="25" max="25" width="10.6640625" customWidth="1"/>
  </cols>
  <sheetData>
    <row r="1" spans="1:37" s="15" customFormat="1" ht="51">
      <c r="A1" s="15" t="s">
        <v>182</v>
      </c>
      <c r="B1" s="15" t="s">
        <v>328</v>
      </c>
      <c r="C1" s="15" t="s">
        <v>289</v>
      </c>
      <c r="D1" s="15" t="s">
        <v>131</v>
      </c>
      <c r="E1" s="15" t="s">
        <v>247</v>
      </c>
      <c r="F1" s="15" t="s">
        <v>132</v>
      </c>
      <c r="G1" s="15" t="s">
        <v>130</v>
      </c>
      <c r="H1" s="15" t="s">
        <v>259</v>
      </c>
      <c r="I1" s="15" t="s">
        <v>288</v>
      </c>
      <c r="J1" s="15" t="s">
        <v>287</v>
      </c>
      <c r="K1" s="15" t="s">
        <v>284</v>
      </c>
      <c r="L1" s="15" t="s">
        <v>283</v>
      </c>
      <c r="M1" s="15" t="s">
        <v>286</v>
      </c>
      <c r="N1" s="15" t="s">
        <v>285</v>
      </c>
      <c r="O1" s="15" t="s">
        <v>261</v>
      </c>
      <c r="P1" s="15" t="s">
        <v>263</v>
      </c>
      <c r="Q1" s="15" t="s">
        <v>260</v>
      </c>
      <c r="R1" s="15" t="s">
        <v>156</v>
      </c>
      <c r="S1" s="15" t="s">
        <v>171</v>
      </c>
      <c r="T1" s="15" t="s">
        <v>157</v>
      </c>
      <c r="U1" s="15" t="s">
        <v>158</v>
      </c>
      <c r="V1" s="15" t="s">
        <v>262</v>
      </c>
      <c r="W1" s="15" t="s">
        <v>159</v>
      </c>
      <c r="X1" s="15" t="s">
        <v>160</v>
      </c>
      <c r="Y1" s="15" t="s">
        <v>258</v>
      </c>
      <c r="Z1" s="15" t="s">
        <v>164</v>
      </c>
      <c r="AA1" s="15" t="s">
        <v>161</v>
      </c>
      <c r="AB1" s="15" t="s">
        <v>294</v>
      </c>
      <c r="AC1" s="15" t="s">
        <v>293</v>
      </c>
      <c r="AD1" s="15" t="s">
        <v>181</v>
      </c>
      <c r="AE1" s="15" t="s">
        <v>257</v>
      </c>
      <c r="AF1" s="15" t="s">
        <v>248</v>
      </c>
      <c r="AG1" s="15" t="s">
        <v>248</v>
      </c>
      <c r="AH1" s="15" t="s">
        <v>249</v>
      </c>
      <c r="AI1" s="15" t="s">
        <v>250</v>
      </c>
      <c r="AJ1" s="15" t="s">
        <v>257</v>
      </c>
      <c r="AK1" s="15" t="s">
        <v>290</v>
      </c>
    </row>
    <row r="2" spans="1:37">
      <c r="A2">
        <v>1</v>
      </c>
      <c r="B2" t="str" cm="1">
        <f t="array" ref="B2">_xlfn.IFS(ISBLANK(D2),"",ISBLANK(C2),"no venue",ISBLANK(E2),"no bib",ISNUMBER(SEARCH("xiv", C2)),"arxiv",SUM(I2:AA2)&lt;3,"no categories",TRUE,"")</f>
        <v/>
      </c>
      <c r="C2" s="1" t="s">
        <v>47</v>
      </c>
      <c r="D2" t="s">
        <v>48</v>
      </c>
      <c r="E2" t="s">
        <v>239</v>
      </c>
      <c r="F2" t="s">
        <v>128</v>
      </c>
      <c r="G2">
        <v>2018</v>
      </c>
      <c r="Q2">
        <v>1</v>
      </c>
      <c r="S2" s="4">
        <v>1</v>
      </c>
      <c r="AA2">
        <v>1</v>
      </c>
      <c r="AD2">
        <v>1</v>
      </c>
      <c r="AE2">
        <f t="shared" ref="AE2:AE40" si="0">IF(SUM(Y2,T2,P2,W2),0,1)</f>
        <v>1</v>
      </c>
      <c r="AF2">
        <f>IF(SUM(T2,P2)&gt;0,1,0)</f>
        <v>0</v>
      </c>
      <c r="AG2" t="str">
        <f t="shared" ref="AG2:AG33" si="1">IF(AF2,E2,"")</f>
        <v/>
      </c>
      <c r="AH2" t="str">
        <f t="shared" ref="AH2:AH33" si="2">IF(W2,E2,"")</f>
        <v/>
      </c>
      <c r="AI2" t="str">
        <f t="shared" ref="AI2:AI33" si="3">IF(Y2,E2,"")</f>
        <v/>
      </c>
      <c r="AJ2" t="str">
        <f t="shared" ref="AJ2:AJ36" si="4">IF(AE2,E2,"")</f>
        <v xml:space="preserve"> DBLP:conf/iclr/FoxCL18</v>
      </c>
      <c r="AK2">
        <f>IF(Z2+T2&gt;1,1,0)</f>
        <v>0</v>
      </c>
    </row>
    <row r="3" spans="1:37">
      <c r="A3">
        <f>1+A2</f>
        <v>2</v>
      </c>
      <c r="B3" t="str" cm="1">
        <f t="array" ref="B3">_xlfn.IFS(ISBLANK(D3),"",ISBLANK(C3),"no venue",ISBLANK(E3),"no bib",ISNUMBER(SEARCH("xiv", C3)),"arxiv",SUM(I3:AA3)&lt;3,"no categories",TRUE,"")</f>
        <v/>
      </c>
      <c r="C3" s="1" t="s">
        <v>126</v>
      </c>
      <c r="D3" s="5" t="s">
        <v>127</v>
      </c>
      <c r="E3" t="s">
        <v>238</v>
      </c>
      <c r="F3" t="s">
        <v>112</v>
      </c>
      <c r="G3">
        <v>2018</v>
      </c>
      <c r="H3">
        <v>1</v>
      </c>
      <c r="O3">
        <v>1</v>
      </c>
      <c r="Q3">
        <v>1</v>
      </c>
      <c r="S3" s="4"/>
      <c r="T3">
        <v>1</v>
      </c>
      <c r="V3">
        <v>1</v>
      </c>
      <c r="AA3">
        <v>1</v>
      </c>
      <c r="AD3">
        <v>1</v>
      </c>
      <c r="AE3">
        <f t="shared" si="0"/>
        <v>0</v>
      </c>
      <c r="AF3">
        <f t="shared" ref="AF3:AF66" si="5">IF(SUM(T3,P3)&gt;0,1,0)</f>
        <v>1</v>
      </c>
      <c r="AG3" t="str">
        <f t="shared" si="1"/>
        <v>DBLP:conf/naacl/ChoshenA18</v>
      </c>
      <c r="AH3" t="str">
        <f t="shared" si="2"/>
        <v/>
      </c>
      <c r="AI3" t="str">
        <f t="shared" si="3"/>
        <v/>
      </c>
      <c r="AJ3" t="str">
        <f t="shared" si="4"/>
        <v/>
      </c>
      <c r="AK3">
        <f>IF(Z3+T3&gt;1,1,0)</f>
        <v>0</v>
      </c>
    </row>
    <row r="4" spans="1:37">
      <c r="A4">
        <f t="shared" ref="A4:A67" si="6">1+A3</f>
        <v>3</v>
      </c>
      <c r="B4" t="str" cm="1">
        <f t="array" ref="B4">_xlfn.IFS(ISBLANK(D4),"",ISBLANK(C4),"no venue",ISBLANK(E4),"no bib",ISNUMBER(SEARCH("xiv", C4)),"arxiv",SUM(I4:AA4)&lt;3,"no categories",TRUE,"")</f>
        <v/>
      </c>
      <c r="C4" s="1" t="s">
        <v>46</v>
      </c>
      <c r="D4" t="s">
        <v>124</v>
      </c>
      <c r="E4" t="s">
        <v>206</v>
      </c>
      <c r="F4" t="s">
        <v>125</v>
      </c>
      <c r="G4">
        <v>2018</v>
      </c>
      <c r="H4">
        <v>1</v>
      </c>
      <c r="J4">
        <v>1</v>
      </c>
      <c r="Q4">
        <v>1</v>
      </c>
      <c r="S4" s="4">
        <v>1</v>
      </c>
      <c r="V4">
        <v>1</v>
      </c>
      <c r="Z4">
        <v>1</v>
      </c>
      <c r="AA4">
        <v>1</v>
      </c>
      <c r="AD4">
        <v>1</v>
      </c>
      <c r="AE4">
        <f t="shared" si="0"/>
        <v>1</v>
      </c>
      <c r="AF4">
        <f t="shared" si="5"/>
        <v>0</v>
      </c>
      <c r="AG4" t="str">
        <f t="shared" si="1"/>
        <v/>
      </c>
      <c r="AH4" t="str">
        <f t="shared" si="2"/>
        <v/>
      </c>
      <c r="AI4" t="str">
        <f t="shared" si="3"/>
        <v/>
      </c>
      <c r="AJ4" t="str">
        <f t="shared" si="4"/>
        <v>DBLP:conf/acl/ShnarchPDGHCAS18</v>
      </c>
    </row>
    <row r="5" spans="1:37">
      <c r="A5">
        <f t="shared" si="6"/>
        <v>4</v>
      </c>
      <c r="B5" t="str" cm="1">
        <f t="array" ref="B5">_xlfn.IFS(ISBLANK(D5),"",ISBLANK(C5),"no venue",ISBLANK(E5),"no bib",ISNUMBER(SEARCH("xiv", C5)),"arxiv",SUM(I5:AA5)&lt;3,"no categories",TRUE,"")</f>
        <v/>
      </c>
      <c r="C5" s="1" t="s">
        <v>45</v>
      </c>
      <c r="D5" t="s">
        <v>123</v>
      </c>
      <c r="E5" t="s">
        <v>237</v>
      </c>
      <c r="F5" t="s">
        <v>112</v>
      </c>
      <c r="G5">
        <v>2018</v>
      </c>
      <c r="H5">
        <v>1</v>
      </c>
      <c r="O5">
        <v>1</v>
      </c>
      <c r="P5">
        <v>1</v>
      </c>
      <c r="Q5">
        <v>1</v>
      </c>
      <c r="S5" s="4"/>
      <c r="T5">
        <v>1</v>
      </c>
      <c r="V5">
        <v>1</v>
      </c>
      <c r="X5">
        <v>1</v>
      </c>
      <c r="Y5">
        <v>1</v>
      </c>
      <c r="Z5">
        <v>1</v>
      </c>
      <c r="AA5">
        <v>1</v>
      </c>
      <c r="AD5">
        <v>1</v>
      </c>
      <c r="AE5">
        <f t="shared" si="0"/>
        <v>0</v>
      </c>
      <c r="AF5">
        <f t="shared" si="5"/>
        <v>1</v>
      </c>
      <c r="AG5" t="str">
        <f t="shared" si="1"/>
        <v xml:space="preserve"> DBLP:conf/acl/AbendC18a</v>
      </c>
      <c r="AH5" t="str">
        <f t="shared" si="2"/>
        <v/>
      </c>
      <c r="AI5" t="str">
        <f t="shared" si="3"/>
        <v xml:space="preserve"> DBLP:conf/acl/AbendC18a</v>
      </c>
      <c r="AJ5" t="str">
        <f t="shared" si="4"/>
        <v/>
      </c>
      <c r="AK5">
        <f t="shared" ref="AK5:AK7" si="7">IF(Z5+T5&gt;1,1,0)</f>
        <v>1</v>
      </c>
    </row>
    <row r="6" spans="1:37">
      <c r="A6">
        <f t="shared" si="6"/>
        <v>5</v>
      </c>
      <c r="B6" t="str" cm="1">
        <f t="array" ref="B6">_xlfn.IFS(ISBLANK(D6),"",ISBLANK(C6),"no venue",ISBLANK(E6),"no bib",ISNUMBER(SEARCH("xiv", C6)),"arxiv",SUM(I6:AA6)&lt;3,"no categories",TRUE,"")</f>
        <v/>
      </c>
      <c r="C6" s="1" t="s">
        <v>44</v>
      </c>
      <c r="D6" t="s">
        <v>122</v>
      </c>
      <c r="E6" t="s">
        <v>236</v>
      </c>
      <c r="F6" t="s">
        <v>112</v>
      </c>
      <c r="G6">
        <v>2018</v>
      </c>
      <c r="H6">
        <v>1</v>
      </c>
      <c r="P6">
        <v>1</v>
      </c>
      <c r="S6" s="4"/>
      <c r="T6">
        <v>1</v>
      </c>
      <c r="V6">
        <v>1</v>
      </c>
      <c r="X6">
        <v>1</v>
      </c>
      <c r="AA6">
        <v>1</v>
      </c>
      <c r="AD6">
        <v>1</v>
      </c>
      <c r="AE6">
        <f t="shared" si="0"/>
        <v>0</v>
      </c>
      <c r="AF6">
        <f t="shared" si="5"/>
        <v>1</v>
      </c>
      <c r="AG6" t="str">
        <f t="shared" si="1"/>
        <v>DBLP:conf/acl/AbendC18</v>
      </c>
      <c r="AH6" t="str">
        <f t="shared" si="2"/>
        <v/>
      </c>
      <c r="AI6" t="str">
        <f t="shared" si="3"/>
        <v/>
      </c>
      <c r="AJ6" t="str">
        <f t="shared" si="4"/>
        <v/>
      </c>
      <c r="AK6">
        <f t="shared" si="7"/>
        <v>0</v>
      </c>
    </row>
    <row r="7" spans="1:37">
      <c r="A7">
        <f t="shared" si="6"/>
        <v>6</v>
      </c>
      <c r="B7" t="str" cm="1">
        <f t="array" ref="B7">_xlfn.IFS(ISBLANK(D7),"",ISBLANK(C7),"no venue",ISBLANK(E7),"no bib",ISNUMBER(SEARCH("xiv", C7)),"arxiv",SUM(I7:AA7)&lt;3,"no categories",TRUE,"")</f>
        <v/>
      </c>
      <c r="C7" s="1" t="s">
        <v>43</v>
      </c>
      <c r="D7" t="s">
        <v>121</v>
      </c>
      <c r="E7" t="s">
        <v>235</v>
      </c>
      <c r="F7" t="s">
        <v>120</v>
      </c>
      <c r="G7">
        <v>2019</v>
      </c>
      <c r="H7">
        <v>1</v>
      </c>
      <c r="O7">
        <v>1</v>
      </c>
      <c r="R7">
        <v>1</v>
      </c>
      <c r="S7" s="4"/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AA7">
        <v>1</v>
      </c>
      <c r="AB7">
        <v>1</v>
      </c>
      <c r="AD7">
        <v>1</v>
      </c>
      <c r="AE7">
        <f t="shared" si="0"/>
        <v>0</v>
      </c>
      <c r="AF7">
        <f t="shared" si="5"/>
        <v>1</v>
      </c>
      <c r="AG7" t="str">
        <f t="shared" si="1"/>
        <v>DBLP:conf/semeval/HershcovichACSR19</v>
      </c>
      <c r="AH7" t="str">
        <f t="shared" si="2"/>
        <v>DBLP:conf/semeval/HershcovichACSR19</v>
      </c>
      <c r="AI7" t="str">
        <f t="shared" si="3"/>
        <v>DBLP:conf/semeval/HershcovichACSR19</v>
      </c>
      <c r="AJ7" t="str">
        <f t="shared" si="4"/>
        <v/>
      </c>
      <c r="AK7">
        <f t="shared" si="7"/>
        <v>0</v>
      </c>
    </row>
    <row r="8" spans="1:37">
      <c r="A8">
        <f t="shared" si="6"/>
        <v>7</v>
      </c>
      <c r="B8" t="str" cm="1">
        <f t="array" ref="B8">_xlfn.IFS(ISBLANK(D8),"",ISBLANK(C8),"no venue",ISBLANK(E8),"no bib",ISNUMBER(SEARCH("xiv", C8)),"arxiv",SUM(I8:AA8)&lt;3,"no categories",TRUE,"")</f>
        <v/>
      </c>
      <c r="C8" s="1" t="s">
        <v>42</v>
      </c>
      <c r="D8" t="s">
        <v>118</v>
      </c>
      <c r="E8" t="s">
        <v>234</v>
      </c>
      <c r="F8" t="s">
        <v>119</v>
      </c>
      <c r="G8">
        <v>2019</v>
      </c>
      <c r="H8">
        <v>1</v>
      </c>
      <c r="J8">
        <v>1</v>
      </c>
      <c r="Q8">
        <v>1</v>
      </c>
      <c r="S8" s="4">
        <v>1</v>
      </c>
      <c r="V8">
        <v>1</v>
      </c>
      <c r="AA8">
        <v>1</v>
      </c>
      <c r="AD8">
        <v>1</v>
      </c>
      <c r="AE8">
        <f t="shared" si="0"/>
        <v>1</v>
      </c>
      <c r="AF8">
        <f t="shared" si="5"/>
        <v>0</v>
      </c>
      <c r="AG8" t="str">
        <f t="shared" si="1"/>
        <v/>
      </c>
      <c r="AH8" t="str">
        <f t="shared" si="2"/>
        <v/>
      </c>
      <c r="AI8" t="str">
        <f t="shared" si="3"/>
        <v/>
      </c>
      <c r="AJ8" t="str">
        <f t="shared" si="4"/>
        <v>DBLP:conf/acl/GleizeSCDMAS19</v>
      </c>
    </row>
    <row r="9" spans="1:37">
      <c r="A9">
        <f t="shared" si="6"/>
        <v>8</v>
      </c>
      <c r="B9" t="str" cm="1">
        <f t="array" ref="B9">_xlfn.IFS(ISBLANK(D9),"",ISBLANK(C9),"no venue",ISBLANK(E9),"no bib",ISNUMBER(SEARCH("xiv", C9)),"arxiv",SUM(I9:AA9)&lt;3,"no categories",TRUE,"")</f>
        <v/>
      </c>
      <c r="C9" s="1" t="s">
        <v>41</v>
      </c>
      <c r="D9" t="s">
        <v>116</v>
      </c>
      <c r="E9" t="s">
        <v>233</v>
      </c>
      <c r="F9" t="s">
        <v>117</v>
      </c>
      <c r="G9">
        <v>2019</v>
      </c>
      <c r="H9">
        <v>1</v>
      </c>
      <c r="P9">
        <v>1</v>
      </c>
      <c r="S9" s="4"/>
      <c r="U9">
        <v>1</v>
      </c>
      <c r="V9">
        <v>1</v>
      </c>
      <c r="X9">
        <v>1</v>
      </c>
      <c r="AA9">
        <v>1</v>
      </c>
      <c r="AD9">
        <v>1</v>
      </c>
      <c r="AE9">
        <f t="shared" si="0"/>
        <v>0</v>
      </c>
      <c r="AF9">
        <f t="shared" si="5"/>
        <v>1</v>
      </c>
      <c r="AG9" t="str">
        <f t="shared" si="1"/>
        <v>DBLP:conf/acl/ChoshenEHSA19</v>
      </c>
      <c r="AH9" t="str">
        <f t="shared" si="2"/>
        <v/>
      </c>
      <c r="AI9" t="str">
        <f t="shared" si="3"/>
        <v/>
      </c>
      <c r="AJ9" t="str">
        <f t="shared" si="4"/>
        <v/>
      </c>
      <c r="AK9">
        <f>IF(Z9+T9&gt;1,1,0)</f>
        <v>0</v>
      </c>
    </row>
    <row r="10" spans="1:37">
      <c r="A10">
        <f t="shared" si="6"/>
        <v>9</v>
      </c>
      <c r="B10" t="str" cm="1">
        <f t="array" ref="B10">_xlfn.IFS(ISBLANK(D10),"",ISBLANK(C10),"no venue",ISBLANK(E10),"no bib",ISNUMBER(SEARCH("xiv", C10)),"arxiv",SUM(I10:AA10)&lt;3,"no categories",TRUE,"")</f>
        <v/>
      </c>
      <c r="C10" s="1" t="s">
        <v>40</v>
      </c>
      <c r="D10" t="s">
        <v>114</v>
      </c>
      <c r="E10" t="s">
        <v>232</v>
      </c>
      <c r="F10" t="s">
        <v>115</v>
      </c>
      <c r="G10">
        <v>2019</v>
      </c>
      <c r="H10">
        <v>1</v>
      </c>
      <c r="J10">
        <v>1</v>
      </c>
      <c r="O10">
        <v>1</v>
      </c>
      <c r="Q10">
        <v>1</v>
      </c>
      <c r="S10" s="4">
        <v>1</v>
      </c>
      <c r="U10">
        <v>1</v>
      </c>
      <c r="V10">
        <v>1</v>
      </c>
      <c r="X10">
        <v>1</v>
      </c>
      <c r="Y10">
        <v>1</v>
      </c>
      <c r="Z10">
        <v>1</v>
      </c>
      <c r="AA10">
        <v>1</v>
      </c>
      <c r="AB10">
        <v>1</v>
      </c>
      <c r="AD10">
        <v>1</v>
      </c>
      <c r="AE10">
        <f t="shared" si="0"/>
        <v>0</v>
      </c>
      <c r="AF10">
        <f t="shared" si="5"/>
        <v>0</v>
      </c>
      <c r="AG10" t="str">
        <f t="shared" si="1"/>
        <v/>
      </c>
      <c r="AH10" t="str">
        <f t="shared" si="2"/>
        <v/>
      </c>
      <c r="AI10" t="str">
        <f t="shared" si="3"/>
        <v>DBLP:conf/bea/KantorKCCLTMS19</v>
      </c>
      <c r="AJ10" t="str">
        <f t="shared" si="4"/>
        <v/>
      </c>
    </row>
    <row r="11" spans="1:37">
      <c r="A11">
        <f t="shared" si="6"/>
        <v>10</v>
      </c>
      <c r="B11" t="str" cm="1">
        <f t="array" ref="B11">_xlfn.IFS(ISBLANK(D11),"",ISBLANK(C11),"no venue",ISBLANK(E11),"no bib",ISNUMBER(SEARCH("xiv", C11)),"arxiv",SUM(I11:AA11)&lt;3,"no categories",TRUE,"")</f>
        <v/>
      </c>
      <c r="C11" s="1" t="s">
        <v>39</v>
      </c>
      <c r="D11" t="s">
        <v>113</v>
      </c>
      <c r="E11" t="s">
        <v>231</v>
      </c>
      <c r="F11" t="s">
        <v>112</v>
      </c>
      <c r="G11">
        <v>2019</v>
      </c>
      <c r="H11">
        <v>1</v>
      </c>
      <c r="O11">
        <v>1</v>
      </c>
      <c r="P11">
        <v>1</v>
      </c>
      <c r="Q11">
        <v>1</v>
      </c>
      <c r="R11">
        <v>1</v>
      </c>
      <c r="S11" s="4"/>
      <c r="T11">
        <v>1</v>
      </c>
      <c r="V11">
        <v>1</v>
      </c>
      <c r="X11">
        <v>1</v>
      </c>
      <c r="Y11">
        <v>1</v>
      </c>
      <c r="Z11">
        <v>1</v>
      </c>
      <c r="AA11">
        <v>1</v>
      </c>
      <c r="AD11">
        <v>1</v>
      </c>
      <c r="AE11">
        <f t="shared" si="0"/>
        <v>0</v>
      </c>
      <c r="AF11">
        <f t="shared" si="5"/>
        <v>1</v>
      </c>
      <c r="AG11" t="str">
        <f t="shared" si="1"/>
        <v>DBLP:conf/conll/ChoshenA19</v>
      </c>
      <c r="AH11" t="str">
        <f t="shared" si="2"/>
        <v/>
      </c>
      <c r="AI11" t="str">
        <f t="shared" si="3"/>
        <v>DBLP:conf/conll/ChoshenA19</v>
      </c>
      <c r="AJ11" t="str">
        <f t="shared" si="4"/>
        <v/>
      </c>
      <c r="AK11">
        <f>IF(Z11+T11&gt;1,1,0)</f>
        <v>1</v>
      </c>
    </row>
    <row r="12" spans="1:37">
      <c r="A12">
        <f t="shared" si="6"/>
        <v>11</v>
      </c>
      <c r="B12" t="str" cm="1">
        <f t="array" ref="B12">_xlfn.IFS(ISBLANK(D12),"",ISBLANK(C12),"no venue",ISBLANK(E12),"no bib",ISNUMBER(SEARCH("xiv", C12)),"arxiv",SUM(I12:AA12)&lt;3,"no categories",TRUE,"")</f>
        <v/>
      </c>
      <c r="C12" s="1" t="s">
        <v>38</v>
      </c>
      <c r="D12" t="s">
        <v>110</v>
      </c>
      <c r="E12" t="s">
        <v>230</v>
      </c>
      <c r="F12" t="s">
        <v>111</v>
      </c>
      <c r="G12">
        <v>2020</v>
      </c>
      <c r="H12">
        <v>1</v>
      </c>
      <c r="J12">
        <v>1</v>
      </c>
      <c r="O12">
        <v>1</v>
      </c>
      <c r="Q12">
        <v>1</v>
      </c>
      <c r="R12">
        <v>1</v>
      </c>
      <c r="S12" s="4">
        <v>1</v>
      </c>
      <c r="T12">
        <v>1</v>
      </c>
      <c r="V12">
        <v>1</v>
      </c>
      <c r="AA12">
        <v>1</v>
      </c>
      <c r="AD12">
        <v>1</v>
      </c>
      <c r="AE12">
        <f t="shared" si="0"/>
        <v>0</v>
      </c>
      <c r="AF12">
        <f t="shared" si="5"/>
        <v>1</v>
      </c>
      <c r="AG12" t="str">
        <f t="shared" si="1"/>
        <v>DBLP:conf/aaai/Ein-DorSDHSGAGC20</v>
      </c>
      <c r="AH12" t="str">
        <f t="shared" si="2"/>
        <v/>
      </c>
      <c r="AI12" t="str">
        <f t="shared" si="3"/>
        <v/>
      </c>
      <c r="AJ12" t="str">
        <f t="shared" si="4"/>
        <v/>
      </c>
    </row>
    <row r="13" spans="1:37">
      <c r="A13">
        <f t="shared" si="6"/>
        <v>12</v>
      </c>
      <c r="B13" t="str" cm="1">
        <f t="array" ref="B13">_xlfn.IFS(ISBLANK(D13),"",ISBLANK(C13),"no venue",ISBLANK(E13),"no bib",ISNUMBER(SEARCH("xiv", C13)),"arxiv",SUM(I13:AA13)&lt;3,"no categories",TRUE,"")</f>
        <v/>
      </c>
      <c r="C13" s="1" t="s">
        <v>37</v>
      </c>
      <c r="D13" t="s">
        <v>146</v>
      </c>
      <c r="E13" t="s">
        <v>229</v>
      </c>
      <c r="F13" t="s">
        <v>147</v>
      </c>
      <c r="G13">
        <v>2020</v>
      </c>
      <c r="H13">
        <v>1</v>
      </c>
      <c r="P13">
        <v>1</v>
      </c>
      <c r="S13" s="4">
        <v>1</v>
      </c>
      <c r="T13">
        <v>1</v>
      </c>
      <c r="V13">
        <v>1</v>
      </c>
      <c r="X13">
        <v>1</v>
      </c>
      <c r="AA13">
        <v>1</v>
      </c>
      <c r="AD13">
        <v>1</v>
      </c>
      <c r="AE13">
        <f t="shared" si="0"/>
        <v>0</v>
      </c>
      <c r="AF13">
        <f t="shared" si="5"/>
        <v>1</v>
      </c>
      <c r="AG13" t="str">
        <f t="shared" si="1"/>
        <v>DBLP:conf/iclr/ChoshenFAA20</v>
      </c>
      <c r="AH13" t="str">
        <f t="shared" si="2"/>
        <v/>
      </c>
      <c r="AI13" t="str">
        <f t="shared" si="3"/>
        <v/>
      </c>
      <c r="AJ13" t="str">
        <f t="shared" si="4"/>
        <v/>
      </c>
      <c r="AK13">
        <f t="shared" ref="AK13:AK17" si="8">IF(Z13+T13&gt;1,1,0)</f>
        <v>0</v>
      </c>
    </row>
    <row r="14" spans="1:37">
      <c r="A14">
        <f t="shared" si="6"/>
        <v>13</v>
      </c>
      <c r="B14" t="str" cm="1">
        <f t="array" ref="B14">_xlfn.IFS(ISBLANK(D14),"",ISBLANK(C14),"no venue",ISBLANK(E14),"no bib",ISNUMBER(SEARCH("xiv", C14)),"arxiv",SUM(I14:AA14)&lt;2,"no categories",TRUE,"")</f>
        <v/>
      </c>
      <c r="C14" s="2" t="s">
        <v>36</v>
      </c>
      <c r="D14" t="s">
        <v>144</v>
      </c>
      <c r="E14" t="s">
        <v>205</v>
      </c>
      <c r="F14" t="s">
        <v>145</v>
      </c>
      <c r="G14">
        <v>2020</v>
      </c>
      <c r="H14">
        <v>1</v>
      </c>
      <c r="P14">
        <v>1</v>
      </c>
      <c r="S14" s="4"/>
      <c r="AA14">
        <v>1</v>
      </c>
      <c r="AD14">
        <v>1</v>
      </c>
      <c r="AE14">
        <f t="shared" si="0"/>
        <v>0</v>
      </c>
      <c r="AF14">
        <f t="shared" si="5"/>
        <v>1</v>
      </c>
      <c r="AG14" t="str">
        <f t="shared" si="1"/>
        <v>DBLP:conf/icml/HacohenCW20</v>
      </c>
      <c r="AH14" t="str">
        <f t="shared" si="2"/>
        <v/>
      </c>
      <c r="AI14" t="str">
        <f t="shared" si="3"/>
        <v/>
      </c>
      <c r="AJ14" t="str">
        <f t="shared" si="4"/>
        <v/>
      </c>
      <c r="AK14">
        <f t="shared" si="8"/>
        <v>0</v>
      </c>
    </row>
    <row r="15" spans="1:37">
      <c r="A15">
        <f t="shared" si="6"/>
        <v>14</v>
      </c>
      <c r="B15" t="str" cm="1">
        <f t="array" ref="B15">_xlfn.IFS(ISBLANK(D15),"",ISBLANK(C15),"no venue",ISBLANK(E15),"no bib",ISNUMBER(SEARCH("xiv", C15)),"arxiv",SUM(I15:AA15)&lt;3,"no categories",TRUE,"")</f>
        <v/>
      </c>
      <c r="C15" s="1" t="s">
        <v>35</v>
      </c>
      <c r="D15" t="s">
        <v>142</v>
      </c>
      <c r="E15" t="s">
        <v>228</v>
      </c>
      <c r="F15" t="s">
        <v>143</v>
      </c>
      <c r="G15">
        <v>2020</v>
      </c>
      <c r="H15">
        <v>1</v>
      </c>
      <c r="O15">
        <v>1</v>
      </c>
      <c r="S15" s="4">
        <v>1</v>
      </c>
      <c r="T15">
        <v>1</v>
      </c>
      <c r="X15">
        <v>1</v>
      </c>
      <c r="Z15">
        <v>1</v>
      </c>
      <c r="AA15">
        <v>1</v>
      </c>
      <c r="AD15">
        <v>1</v>
      </c>
      <c r="AE15">
        <f t="shared" si="0"/>
        <v>0</v>
      </c>
      <c r="AF15">
        <f t="shared" si="5"/>
        <v>1</v>
      </c>
      <c r="AG15" t="str">
        <f t="shared" si="1"/>
        <v>DBLP:conf/emnlp/Ein-DorHGSDCDAK20</v>
      </c>
      <c r="AH15" t="str">
        <f t="shared" si="2"/>
        <v/>
      </c>
      <c r="AI15" t="str">
        <f t="shared" si="3"/>
        <v/>
      </c>
      <c r="AJ15" t="str">
        <f t="shared" si="4"/>
        <v/>
      </c>
      <c r="AK15">
        <f t="shared" si="8"/>
        <v>1</v>
      </c>
    </row>
    <row r="16" spans="1:37">
      <c r="A16">
        <f t="shared" si="6"/>
        <v>15</v>
      </c>
      <c r="B16" t="str" cm="1">
        <f t="array" ref="B16">_xlfn.IFS(ISBLANK(D16),"",ISBLANK(C16),"no venue",ISBLANK(E16),"no bib",ISNUMBER(SEARCH("xiv", C16)),"arxiv",SUM(I16:AA16)&lt;3,"no categories",TRUE,"")</f>
        <v/>
      </c>
      <c r="C16" s="1" t="s">
        <v>34</v>
      </c>
      <c r="D16" t="s">
        <v>140</v>
      </c>
      <c r="E16" t="s">
        <v>227</v>
      </c>
      <c r="F16" t="s">
        <v>141</v>
      </c>
      <c r="G16">
        <v>2020</v>
      </c>
      <c r="H16">
        <v>1</v>
      </c>
      <c r="O16">
        <v>1</v>
      </c>
      <c r="P16">
        <v>1</v>
      </c>
      <c r="Q16">
        <v>1</v>
      </c>
      <c r="S16" s="4">
        <v>1</v>
      </c>
      <c r="T16">
        <v>1</v>
      </c>
      <c r="W16">
        <v>1</v>
      </c>
      <c r="Y16">
        <v>1</v>
      </c>
      <c r="Z16">
        <v>1</v>
      </c>
      <c r="AA16">
        <v>1</v>
      </c>
      <c r="AD16">
        <v>1</v>
      </c>
      <c r="AE16">
        <f t="shared" si="0"/>
        <v>0</v>
      </c>
      <c r="AF16">
        <f t="shared" si="5"/>
        <v>1</v>
      </c>
      <c r="AG16" t="str">
        <f t="shared" si="1"/>
        <v>DBLP:conf/emnlp/ShnarchCMAS20</v>
      </c>
      <c r="AH16" t="str">
        <f t="shared" si="2"/>
        <v>DBLP:conf/emnlp/ShnarchCMAS20</v>
      </c>
      <c r="AI16" t="str">
        <f t="shared" si="3"/>
        <v>DBLP:conf/emnlp/ShnarchCMAS20</v>
      </c>
      <c r="AJ16" t="str">
        <f t="shared" si="4"/>
        <v/>
      </c>
      <c r="AK16">
        <f t="shared" si="8"/>
        <v>1</v>
      </c>
    </row>
    <row r="17" spans="1:37">
      <c r="A17">
        <f t="shared" si="6"/>
        <v>16</v>
      </c>
      <c r="B17" t="str" cm="1">
        <f t="array" ref="B17">_xlfn.IFS(ISBLANK(D17),"",ISBLANK(C17),"no venue",ISBLANK(E17),"no bib",ISNUMBER(SEARCH("xiv", C17)),"arxiv",SUM(I17:AA17)&lt;3,"no categories",TRUE,"")</f>
        <v/>
      </c>
      <c r="C17" s="1" t="s">
        <v>33</v>
      </c>
      <c r="D17" t="s">
        <v>138</v>
      </c>
      <c r="E17" t="s">
        <v>204</v>
      </c>
      <c r="F17" t="s">
        <v>139</v>
      </c>
      <c r="G17">
        <v>2020</v>
      </c>
      <c r="H17">
        <v>1</v>
      </c>
      <c r="O17">
        <v>1</v>
      </c>
      <c r="P17">
        <v>1</v>
      </c>
      <c r="Q17">
        <v>1</v>
      </c>
      <c r="S17" s="4"/>
      <c r="T17">
        <v>1</v>
      </c>
      <c r="V17">
        <v>1</v>
      </c>
      <c r="AA17">
        <v>1</v>
      </c>
      <c r="AD17">
        <v>1</v>
      </c>
      <c r="AE17">
        <f t="shared" si="0"/>
        <v>0</v>
      </c>
      <c r="AF17">
        <f t="shared" si="5"/>
        <v>1</v>
      </c>
      <c r="AG17" t="str">
        <f t="shared" si="1"/>
        <v>DBLP:conf/conll/ChoshenNBA20</v>
      </c>
      <c r="AH17" t="str">
        <f t="shared" si="2"/>
        <v/>
      </c>
      <c r="AI17" t="str">
        <f t="shared" si="3"/>
        <v/>
      </c>
      <c r="AJ17" t="str">
        <f t="shared" si="4"/>
        <v/>
      </c>
      <c r="AK17">
        <f t="shared" si="8"/>
        <v>0</v>
      </c>
    </row>
    <row r="18" spans="1:37" ht="18">
      <c r="A18">
        <f t="shared" si="6"/>
        <v>17</v>
      </c>
      <c r="B18" t="str" cm="1">
        <f t="array" ref="B18">_xlfn.IFS(ISBLANK(D18),"",ISBLANK(C18),"no venue",ISBLANK(E18),"no bib",ISNUMBER(SEARCH("xiv", C18)),"arxiv",SUM(I18:AA18)&lt;3,"no categories",TRUE,"")</f>
        <v/>
      </c>
      <c r="C18" s="3" t="s">
        <v>32</v>
      </c>
      <c r="D18" t="s">
        <v>137</v>
      </c>
      <c r="E18" t="s">
        <v>203</v>
      </c>
      <c r="F18" t="s">
        <v>109</v>
      </c>
      <c r="G18" s="4">
        <v>2021</v>
      </c>
      <c r="H18">
        <v>1</v>
      </c>
      <c r="J18">
        <v>1</v>
      </c>
      <c r="K18" s="4"/>
      <c r="L18" s="4"/>
      <c r="M18" s="4"/>
      <c r="O18">
        <v>1</v>
      </c>
      <c r="Q18">
        <v>1</v>
      </c>
      <c r="R18">
        <v>1</v>
      </c>
      <c r="S18" s="4">
        <v>1</v>
      </c>
      <c r="V18">
        <v>1</v>
      </c>
      <c r="AA18">
        <v>1</v>
      </c>
      <c r="AD18">
        <v>1</v>
      </c>
      <c r="AE18">
        <f t="shared" si="0"/>
        <v>1</v>
      </c>
      <c r="AF18">
        <f t="shared" si="5"/>
        <v>0</v>
      </c>
      <c r="AG18" t="str">
        <f t="shared" si="1"/>
        <v/>
      </c>
      <c r="AH18" t="str">
        <f t="shared" si="2"/>
        <v/>
      </c>
      <c r="AI18" t="str">
        <f t="shared" si="3"/>
        <v/>
      </c>
      <c r="AJ18" t="str">
        <f t="shared" si="4"/>
        <v>DBLP:journals/nature/SlonimBABBBCCDE21</v>
      </c>
    </row>
    <row r="19" spans="1:37">
      <c r="A19">
        <f t="shared" si="6"/>
        <v>18</v>
      </c>
      <c r="B19" t="str" cm="1">
        <f t="array" ref="B19">_xlfn.IFS(ISBLANK(D19),"",ISBLANK(C19),"no venue",ISBLANK(E19),"no bib",ISNUMBER(SEARCH("xiv", C19)),"arxiv",SUM(I19:AA19)&lt;3,"no categories",TRUE,"")</f>
        <v/>
      </c>
      <c r="C19" s="1" t="s">
        <v>31</v>
      </c>
      <c r="D19" t="s">
        <v>93</v>
      </c>
      <c r="E19" t="s">
        <v>226</v>
      </c>
      <c r="F19" t="s">
        <v>94</v>
      </c>
      <c r="G19" s="4">
        <v>2021</v>
      </c>
      <c r="H19">
        <v>1</v>
      </c>
      <c r="K19" s="4"/>
      <c r="L19" s="4"/>
      <c r="M19" s="4"/>
      <c r="P19">
        <v>1</v>
      </c>
      <c r="S19" s="4"/>
      <c r="X19">
        <v>1</v>
      </c>
      <c r="AA19">
        <v>1</v>
      </c>
      <c r="AD19">
        <v>1</v>
      </c>
      <c r="AE19">
        <f t="shared" si="0"/>
        <v>0</v>
      </c>
      <c r="AF19">
        <f t="shared" si="5"/>
        <v>1</v>
      </c>
      <c r="AG19" t="str">
        <f t="shared" si="1"/>
        <v>DBLP:conf/naacl/SlobodkinCA21</v>
      </c>
      <c r="AH19" t="str">
        <f t="shared" si="2"/>
        <v/>
      </c>
      <c r="AI19" t="str">
        <f t="shared" si="3"/>
        <v/>
      </c>
      <c r="AJ19" t="str">
        <f t="shared" si="4"/>
        <v/>
      </c>
      <c r="AK19">
        <f t="shared" ref="AK19:AK23" si="9">IF(Z19+T19&gt;1,1,0)</f>
        <v>0</v>
      </c>
    </row>
    <row r="20" spans="1:37">
      <c r="A20">
        <f t="shared" si="6"/>
        <v>19</v>
      </c>
      <c r="C20" s="1" t="s">
        <v>30</v>
      </c>
      <c r="D20" t="s">
        <v>91</v>
      </c>
      <c r="E20" t="s">
        <v>202</v>
      </c>
      <c r="F20" t="s">
        <v>92</v>
      </c>
      <c r="G20" s="4">
        <v>2021</v>
      </c>
      <c r="H20">
        <v>1</v>
      </c>
      <c r="K20" s="4"/>
      <c r="L20" s="4"/>
      <c r="M20" s="4"/>
      <c r="O20">
        <v>1</v>
      </c>
      <c r="P20">
        <v>1</v>
      </c>
      <c r="Q20">
        <v>1</v>
      </c>
      <c r="S20" s="4"/>
      <c r="T20">
        <v>1</v>
      </c>
      <c r="X20">
        <v>1</v>
      </c>
      <c r="Y20">
        <v>1</v>
      </c>
      <c r="AA20">
        <v>1</v>
      </c>
      <c r="AD20">
        <v>1</v>
      </c>
      <c r="AE20">
        <f t="shared" si="0"/>
        <v>0</v>
      </c>
      <c r="AF20">
        <f t="shared" si="5"/>
        <v>1</v>
      </c>
      <c r="AG20" t="str">
        <f t="shared" si="1"/>
        <v>DBLP:journals/corr/abs-2104-02310</v>
      </c>
      <c r="AH20" t="str">
        <f t="shared" si="2"/>
        <v/>
      </c>
      <c r="AI20" t="str">
        <f t="shared" si="3"/>
        <v>DBLP:journals/corr/abs-2104-02310</v>
      </c>
      <c r="AJ20" t="str">
        <f t="shared" si="4"/>
        <v/>
      </c>
      <c r="AK20">
        <f t="shared" si="9"/>
        <v>0</v>
      </c>
    </row>
    <row r="21" spans="1:37">
      <c r="A21">
        <f t="shared" si="6"/>
        <v>20</v>
      </c>
      <c r="C21" s="1" t="s">
        <v>29</v>
      </c>
      <c r="D21" t="s">
        <v>136</v>
      </c>
      <c r="E21" t="s">
        <v>225</v>
      </c>
      <c r="F21" t="s">
        <v>108</v>
      </c>
      <c r="G21" s="4">
        <v>2021</v>
      </c>
      <c r="H21">
        <v>1</v>
      </c>
      <c r="K21" s="4"/>
      <c r="L21" s="4"/>
      <c r="M21" s="4"/>
      <c r="O21">
        <v>1</v>
      </c>
      <c r="Q21">
        <v>1</v>
      </c>
      <c r="S21" s="4"/>
      <c r="T21">
        <v>1</v>
      </c>
      <c r="AA21">
        <v>1</v>
      </c>
      <c r="AD21">
        <v>1</v>
      </c>
      <c r="AE21">
        <f t="shared" si="0"/>
        <v>0</v>
      </c>
      <c r="AF21">
        <f t="shared" si="5"/>
        <v>1</v>
      </c>
      <c r="AG21" t="str">
        <f t="shared" si="1"/>
        <v>DBLP:conf/emnlp/HonovichCANSA21</v>
      </c>
      <c r="AH21" t="str">
        <f t="shared" si="2"/>
        <v/>
      </c>
      <c r="AI21" t="str">
        <f t="shared" si="3"/>
        <v/>
      </c>
      <c r="AJ21" t="str">
        <f t="shared" si="4"/>
        <v/>
      </c>
      <c r="AK21">
        <f t="shared" si="9"/>
        <v>0</v>
      </c>
    </row>
    <row r="22" spans="1:37">
      <c r="A22">
        <f t="shared" si="6"/>
        <v>21</v>
      </c>
      <c r="C22" s="2" t="s">
        <v>28</v>
      </c>
      <c r="D22" t="s">
        <v>89</v>
      </c>
      <c r="E22" t="s">
        <v>201</v>
      </c>
      <c r="F22" t="s">
        <v>90</v>
      </c>
      <c r="G22">
        <v>2022</v>
      </c>
      <c r="H22">
        <v>1</v>
      </c>
      <c r="S22" s="4"/>
      <c r="T22">
        <v>1</v>
      </c>
      <c r="V22">
        <v>1</v>
      </c>
      <c r="AA22">
        <v>1</v>
      </c>
      <c r="AD22">
        <v>1</v>
      </c>
      <c r="AE22">
        <f t="shared" si="0"/>
        <v>0</v>
      </c>
      <c r="AF22">
        <f t="shared" si="5"/>
        <v>1</v>
      </c>
      <c r="AG22" t="str">
        <f t="shared" si="1"/>
        <v>DBLP:journals/corr/abs-2106-00745</v>
      </c>
      <c r="AH22" t="str">
        <f t="shared" si="2"/>
        <v/>
      </c>
      <c r="AI22" t="str">
        <f t="shared" si="3"/>
        <v/>
      </c>
      <c r="AJ22" t="str">
        <f t="shared" si="4"/>
        <v/>
      </c>
      <c r="AK22">
        <f t="shared" si="9"/>
        <v>0</v>
      </c>
    </row>
    <row r="23" spans="1:37">
      <c r="A23">
        <f t="shared" si="6"/>
        <v>22</v>
      </c>
      <c r="C23" s="2" t="s">
        <v>28</v>
      </c>
      <c r="D23" t="s">
        <v>87</v>
      </c>
      <c r="E23" t="s">
        <v>200</v>
      </c>
      <c r="F23" t="s">
        <v>88</v>
      </c>
      <c r="G23">
        <v>2022</v>
      </c>
      <c r="H23">
        <v>1</v>
      </c>
      <c r="O23">
        <v>1</v>
      </c>
      <c r="R23">
        <v>1</v>
      </c>
      <c r="S23" s="4"/>
      <c r="W23">
        <v>1</v>
      </c>
      <c r="AA23">
        <v>1</v>
      </c>
      <c r="AD23">
        <v>1</v>
      </c>
      <c r="AE23">
        <f t="shared" si="0"/>
        <v>0</v>
      </c>
      <c r="AF23">
        <f t="shared" si="5"/>
        <v>0</v>
      </c>
      <c r="AG23" t="str">
        <f t="shared" si="1"/>
        <v/>
      </c>
      <c r="AH23" t="str">
        <f t="shared" si="2"/>
        <v>DBLP:journals/corr/abs-2108-10763</v>
      </c>
      <c r="AI23" t="str">
        <f t="shared" si="3"/>
        <v/>
      </c>
      <c r="AJ23" t="str">
        <f t="shared" si="4"/>
        <v/>
      </c>
      <c r="AK23">
        <f t="shared" si="9"/>
        <v>0</v>
      </c>
    </row>
    <row r="24" spans="1:37">
      <c r="A24">
        <f t="shared" si="6"/>
        <v>23</v>
      </c>
      <c r="C24" s="2" t="s">
        <v>27</v>
      </c>
      <c r="D24" t="s">
        <v>85</v>
      </c>
      <c r="E24" t="s">
        <v>240</v>
      </c>
      <c r="F24" t="s">
        <v>86</v>
      </c>
      <c r="G24">
        <v>2022</v>
      </c>
      <c r="H24">
        <v>1</v>
      </c>
      <c r="K24">
        <v>1</v>
      </c>
      <c r="P24">
        <v>1</v>
      </c>
      <c r="Q24">
        <v>1</v>
      </c>
      <c r="S24" s="4">
        <v>1</v>
      </c>
      <c r="W24">
        <v>1</v>
      </c>
      <c r="X24">
        <v>1</v>
      </c>
      <c r="Y24">
        <v>1</v>
      </c>
      <c r="Z24">
        <v>1</v>
      </c>
      <c r="AA24">
        <v>1</v>
      </c>
      <c r="AD24">
        <v>1</v>
      </c>
      <c r="AE24">
        <f t="shared" si="0"/>
        <v>0</v>
      </c>
      <c r="AF24">
        <f t="shared" si="5"/>
        <v>1</v>
      </c>
      <c r="AG24" t="str">
        <f t="shared" si="1"/>
        <v>Choshen2022FusingFM</v>
      </c>
      <c r="AH24" t="str">
        <f t="shared" si="2"/>
        <v>Choshen2022FusingFM</v>
      </c>
      <c r="AI24" t="str">
        <f t="shared" si="3"/>
        <v>Choshen2022FusingFM</v>
      </c>
      <c r="AJ24" t="str">
        <f t="shared" si="4"/>
        <v/>
      </c>
    </row>
    <row r="25" spans="1:37">
      <c r="A25">
        <f t="shared" si="6"/>
        <v>24</v>
      </c>
      <c r="C25" s="1" t="s">
        <v>26</v>
      </c>
      <c r="D25" t="s">
        <v>135</v>
      </c>
      <c r="E25" t="s">
        <v>224</v>
      </c>
      <c r="F25" t="s">
        <v>107</v>
      </c>
      <c r="G25">
        <v>2022</v>
      </c>
      <c r="H25">
        <v>1</v>
      </c>
      <c r="O25">
        <v>1</v>
      </c>
      <c r="P25">
        <v>1</v>
      </c>
      <c r="Q25">
        <v>1</v>
      </c>
      <c r="S25" s="4"/>
      <c r="T25">
        <v>1</v>
      </c>
      <c r="W25">
        <v>1</v>
      </c>
      <c r="Y25">
        <v>1</v>
      </c>
      <c r="Z25">
        <v>1</v>
      </c>
      <c r="AA25">
        <v>1</v>
      </c>
      <c r="AD25">
        <v>1</v>
      </c>
      <c r="AE25">
        <f t="shared" si="0"/>
        <v>0</v>
      </c>
      <c r="AF25">
        <f t="shared" si="5"/>
        <v>1</v>
      </c>
      <c r="AG25" t="str">
        <f t="shared" si="1"/>
        <v>DBLP:conf/lrec/Lertvittayakumjorn22</v>
      </c>
      <c r="AH25" t="str">
        <f t="shared" si="2"/>
        <v>DBLP:conf/lrec/Lertvittayakumjorn22</v>
      </c>
      <c r="AI25" t="str">
        <f t="shared" si="3"/>
        <v>DBLP:conf/lrec/Lertvittayakumjorn22</v>
      </c>
      <c r="AJ25" t="str">
        <f t="shared" si="4"/>
        <v/>
      </c>
      <c r="AK25">
        <f t="shared" ref="AK25:AK33" si="10">IF(Z25+T25&gt;1,1,0)</f>
        <v>1</v>
      </c>
    </row>
    <row r="26" spans="1:37">
      <c r="A26">
        <f t="shared" si="6"/>
        <v>25</v>
      </c>
      <c r="C26" s="2" t="s">
        <v>25</v>
      </c>
      <c r="D26" t="s">
        <v>134</v>
      </c>
      <c r="E26" t="s">
        <v>223</v>
      </c>
      <c r="F26" t="s">
        <v>106</v>
      </c>
      <c r="G26">
        <v>2023</v>
      </c>
      <c r="H26">
        <v>1</v>
      </c>
      <c r="P26">
        <v>1</v>
      </c>
      <c r="Q26">
        <v>1</v>
      </c>
      <c r="S26" s="4">
        <v>1</v>
      </c>
      <c r="V26">
        <v>1</v>
      </c>
      <c r="Z26">
        <v>1</v>
      </c>
      <c r="AA26">
        <v>1</v>
      </c>
      <c r="AB26">
        <v>1</v>
      </c>
      <c r="AD26">
        <v>1</v>
      </c>
      <c r="AE26">
        <f t="shared" si="0"/>
        <v>0</v>
      </c>
      <c r="AF26">
        <f t="shared" si="5"/>
        <v>1</v>
      </c>
      <c r="AG26" t="str">
        <f t="shared" si="1"/>
        <v>DBLP:conf/starsem/SlobodkinCA22</v>
      </c>
      <c r="AH26" t="str">
        <f t="shared" si="2"/>
        <v/>
      </c>
      <c r="AI26" t="str">
        <f t="shared" si="3"/>
        <v/>
      </c>
      <c r="AJ26" t="str">
        <f t="shared" si="4"/>
        <v/>
      </c>
      <c r="AK26">
        <f t="shared" si="10"/>
        <v>0</v>
      </c>
    </row>
    <row r="27" spans="1:37">
      <c r="A27">
        <f t="shared" si="6"/>
        <v>26</v>
      </c>
      <c r="C27" s="1" t="s">
        <v>24</v>
      </c>
      <c r="D27" t="s">
        <v>83</v>
      </c>
      <c r="E27" t="s">
        <v>199</v>
      </c>
      <c r="F27" t="s">
        <v>84</v>
      </c>
      <c r="G27">
        <v>2023</v>
      </c>
      <c r="H27">
        <v>1</v>
      </c>
      <c r="O27">
        <v>1</v>
      </c>
      <c r="P27">
        <v>1</v>
      </c>
      <c r="Q27">
        <v>1</v>
      </c>
      <c r="R27">
        <v>1</v>
      </c>
      <c r="S27" s="4"/>
      <c r="T27">
        <v>1</v>
      </c>
      <c r="V27">
        <v>1</v>
      </c>
      <c r="W27">
        <v>1</v>
      </c>
      <c r="X27">
        <v>1</v>
      </c>
      <c r="AA27">
        <v>1</v>
      </c>
      <c r="AD27">
        <v>1</v>
      </c>
      <c r="AE27">
        <f t="shared" si="0"/>
        <v>0</v>
      </c>
      <c r="AF27">
        <f t="shared" si="5"/>
        <v>1</v>
      </c>
      <c r="AG27" t="str">
        <f t="shared" si="1"/>
        <v>DBLP:journals/corr/abs-2205-05730</v>
      </c>
      <c r="AH27" t="str">
        <f t="shared" si="2"/>
        <v>DBLP:journals/corr/abs-2205-05730</v>
      </c>
      <c r="AI27" t="str">
        <f t="shared" si="3"/>
        <v/>
      </c>
      <c r="AJ27" t="str">
        <f t="shared" si="4"/>
        <v/>
      </c>
      <c r="AK27">
        <f t="shared" si="10"/>
        <v>0</v>
      </c>
    </row>
    <row r="28" spans="1:37">
      <c r="A28">
        <f t="shared" si="6"/>
        <v>27</v>
      </c>
      <c r="B28" t="str" cm="1">
        <f t="array" ref="B28">_xlfn.IFS(ISBLANK(D28),"",ISBLANK(C28),"no venue",ISBLANK(E28),"no bib",ISNUMBER(SEARCH("xiv", C28)),"arxiv",SUM(I28:AA28)&lt;3,"no categories",TRUE,"")</f>
        <v/>
      </c>
      <c r="C28" s="1" t="s">
        <v>23</v>
      </c>
      <c r="D28" t="s">
        <v>81</v>
      </c>
      <c r="E28" t="s">
        <v>222</v>
      </c>
      <c r="F28" t="s">
        <v>82</v>
      </c>
      <c r="G28">
        <v>2023</v>
      </c>
      <c r="H28">
        <v>1</v>
      </c>
      <c r="Q28">
        <v>1</v>
      </c>
      <c r="S28" s="4">
        <v>1</v>
      </c>
      <c r="Z28">
        <v>1</v>
      </c>
      <c r="AA28">
        <v>1</v>
      </c>
      <c r="AD28">
        <v>1</v>
      </c>
      <c r="AE28">
        <f t="shared" si="0"/>
        <v>1</v>
      </c>
      <c r="AF28">
        <f t="shared" si="5"/>
        <v>0</v>
      </c>
      <c r="AG28" t="str">
        <f t="shared" si="1"/>
        <v/>
      </c>
      <c r="AH28" t="str">
        <f t="shared" si="2"/>
        <v/>
      </c>
      <c r="AI28" t="str">
        <f t="shared" si="3"/>
        <v/>
      </c>
      <c r="AJ28" t="str">
        <f t="shared" si="4"/>
        <v>DBLP:conf/acl/ShnarchGHDCAS22</v>
      </c>
      <c r="AK28">
        <f t="shared" si="10"/>
        <v>0</v>
      </c>
    </row>
    <row r="29" spans="1:37">
      <c r="A29">
        <f t="shared" si="6"/>
        <v>28</v>
      </c>
      <c r="B29" t="str" cm="1">
        <f t="array" ref="B29">_xlfn.IFS(ISBLANK(D29),"",ISBLANK(C29),"no venue",ISBLANK(E29),"no bib",ISNUMBER(SEARCH("xiv", C29)),"arxiv",SUM(I29:AA29)&lt;3,"no categories",TRUE,"")</f>
        <v/>
      </c>
      <c r="C29" s="1" t="s">
        <v>22</v>
      </c>
      <c r="D29" t="s">
        <v>133</v>
      </c>
      <c r="E29" t="s">
        <v>221</v>
      </c>
      <c r="F29" t="s">
        <v>105</v>
      </c>
      <c r="G29">
        <v>2023</v>
      </c>
      <c r="H29">
        <v>1</v>
      </c>
      <c r="P29">
        <v>1</v>
      </c>
      <c r="S29" s="4"/>
      <c r="V29">
        <v>1</v>
      </c>
      <c r="AA29">
        <v>1</v>
      </c>
      <c r="AD29">
        <v>1</v>
      </c>
      <c r="AE29">
        <f t="shared" si="0"/>
        <v>0</v>
      </c>
      <c r="AF29">
        <f t="shared" si="5"/>
        <v>1</v>
      </c>
      <c r="AG29" t="str">
        <f t="shared" si="1"/>
        <v>DBLP:conf/acl/ChoshenHWA22</v>
      </c>
      <c r="AH29" t="str">
        <f t="shared" si="2"/>
        <v/>
      </c>
      <c r="AI29" t="str">
        <f t="shared" si="3"/>
        <v/>
      </c>
      <c r="AJ29" t="str">
        <f t="shared" si="4"/>
        <v/>
      </c>
      <c r="AK29">
        <f t="shared" si="10"/>
        <v>0</v>
      </c>
    </row>
    <row r="30" spans="1:37">
      <c r="A30">
        <f t="shared" si="6"/>
        <v>29</v>
      </c>
      <c r="B30" t="str" cm="1">
        <f t="array" ref="B30">_xlfn.IFS(ISBLANK(D30),"",ISBLANK(C30),"no venue",ISBLANK(E30),"no bib",ISNUMBER(SEARCH("xiv", C30)),"arxiv",SUM(I30:AA30)&lt;3,"no categories",TRUE,"")</f>
        <v/>
      </c>
      <c r="C30" s="1" t="s">
        <v>18</v>
      </c>
      <c r="D30" t="s">
        <v>80</v>
      </c>
      <c r="E30" t="s">
        <v>220</v>
      </c>
      <c r="F30" t="s">
        <v>129</v>
      </c>
      <c r="G30">
        <v>2023</v>
      </c>
      <c r="H30">
        <v>1</v>
      </c>
      <c r="O30">
        <v>1</v>
      </c>
      <c r="Q30">
        <v>1</v>
      </c>
      <c r="S30" s="4">
        <v>1</v>
      </c>
      <c r="T30">
        <v>1</v>
      </c>
      <c r="W30">
        <v>1</v>
      </c>
      <c r="Y30">
        <v>1</v>
      </c>
      <c r="Z30">
        <v>1</v>
      </c>
      <c r="AA30">
        <v>1</v>
      </c>
      <c r="AD30">
        <v>1</v>
      </c>
      <c r="AE30">
        <f t="shared" si="0"/>
        <v>0</v>
      </c>
      <c r="AF30">
        <f t="shared" si="5"/>
        <v>1</v>
      </c>
      <c r="AG30" t="str">
        <f t="shared" si="1"/>
        <v>DBLP:conf/emnlp/ShnarchHGDKCCEZW22</v>
      </c>
      <c r="AH30" t="str">
        <f t="shared" si="2"/>
        <v>DBLP:conf/emnlp/ShnarchHGDKCCEZW22</v>
      </c>
      <c r="AI30" t="str">
        <f t="shared" si="3"/>
        <v>DBLP:conf/emnlp/ShnarchHGDKCCEZW22</v>
      </c>
      <c r="AJ30" t="str">
        <f t="shared" si="4"/>
        <v/>
      </c>
      <c r="AK30">
        <f t="shared" si="10"/>
        <v>1</v>
      </c>
    </row>
    <row r="31" spans="1:37">
      <c r="A31">
        <f t="shared" si="6"/>
        <v>30</v>
      </c>
      <c r="B31" t="str" cm="1">
        <f t="array" ref="B31">_xlfn.IFS(ISBLANK(D31),"",ISBLANK(C31),"no venue",ISBLANK(E31),"no bib",ISNUMBER(SEARCH("xiv", C31)),"arxiv",SUM(I31:AA31)&lt;3,"no categories",TRUE,"")</f>
        <v/>
      </c>
      <c r="C31" s="1" t="s">
        <v>21</v>
      </c>
      <c r="D31" t="s">
        <v>78</v>
      </c>
      <c r="E31" s="4" t="s">
        <v>219</v>
      </c>
      <c r="F31" t="s">
        <v>79</v>
      </c>
      <c r="G31">
        <v>2023</v>
      </c>
      <c r="H31">
        <v>1</v>
      </c>
      <c r="P31">
        <v>1</v>
      </c>
      <c r="Q31">
        <v>1</v>
      </c>
      <c r="S31" s="4">
        <v>1</v>
      </c>
      <c r="AA31">
        <v>1</v>
      </c>
      <c r="AD31">
        <v>1</v>
      </c>
      <c r="AE31">
        <f t="shared" si="0"/>
        <v>0</v>
      </c>
      <c r="AF31">
        <f t="shared" si="5"/>
        <v>1</v>
      </c>
      <c r="AG31" t="str">
        <f t="shared" si="1"/>
        <v>DBLP:conf/coling/YehudaiCFA22</v>
      </c>
      <c r="AH31" t="str">
        <f t="shared" si="2"/>
        <v/>
      </c>
      <c r="AI31" t="str">
        <f t="shared" si="3"/>
        <v/>
      </c>
      <c r="AJ31" t="str">
        <f t="shared" si="4"/>
        <v/>
      </c>
      <c r="AK31">
        <f t="shared" si="10"/>
        <v>0</v>
      </c>
    </row>
    <row r="32" spans="1:37">
      <c r="A32">
        <f t="shared" si="6"/>
        <v>31</v>
      </c>
      <c r="B32" t="str" cm="1">
        <f t="array" ref="B32">_xlfn.IFS(ISBLANK(D32),"",ISBLANK(C32),"no venue",ISBLANK(E32),"no bib",ISNUMBER(SEARCH("xiv", C32)),"arxiv",SUM(I32:AA32)&lt;3,"no categories",TRUE,"")</f>
        <v/>
      </c>
      <c r="C32" s="1" t="s">
        <v>20</v>
      </c>
      <c r="D32" s="2" t="s">
        <v>306</v>
      </c>
      <c r="E32" s="9" t="s">
        <v>241</v>
      </c>
      <c r="F32" t="s">
        <v>77</v>
      </c>
      <c r="G32">
        <v>2023</v>
      </c>
      <c r="H32">
        <v>1</v>
      </c>
      <c r="O32">
        <v>1</v>
      </c>
      <c r="P32">
        <v>1</v>
      </c>
      <c r="Q32">
        <v>1</v>
      </c>
      <c r="S32" s="4">
        <v>1</v>
      </c>
      <c r="V32">
        <v>1</v>
      </c>
      <c r="Z32">
        <v>1</v>
      </c>
      <c r="AA32">
        <v>1</v>
      </c>
      <c r="AD32">
        <v>1</v>
      </c>
      <c r="AE32">
        <f t="shared" si="0"/>
        <v>0</v>
      </c>
      <c r="AF32">
        <f t="shared" si="5"/>
        <v>1</v>
      </c>
      <c r="AG32" t="str">
        <f t="shared" si="1"/>
        <v>DBLP:conf/conll/ChoshenA22</v>
      </c>
      <c r="AH32" t="str">
        <f t="shared" si="2"/>
        <v/>
      </c>
      <c r="AI32" t="str">
        <f t="shared" si="3"/>
        <v/>
      </c>
      <c r="AJ32" t="str">
        <f t="shared" si="4"/>
        <v/>
      </c>
      <c r="AK32">
        <f t="shared" si="10"/>
        <v>0</v>
      </c>
    </row>
    <row r="33" spans="1:37">
      <c r="A33">
        <f t="shared" si="6"/>
        <v>32</v>
      </c>
      <c r="B33" t="str" cm="1">
        <f t="array" ref="B33">_xlfn.IFS(ISBLANK(D33),"",ISBLANK(C33),"no venue",ISBLANK(E33),"no bib",ISNUMBER(SEARCH("xiv", C33)),"arxiv",SUM(I33:AA33)&lt;3,"no categories",TRUE,"")</f>
        <v/>
      </c>
      <c r="C33" s="1" t="s">
        <v>19</v>
      </c>
      <c r="D33" t="s">
        <v>75</v>
      </c>
      <c r="E33" t="s">
        <v>198</v>
      </c>
      <c r="F33" t="s">
        <v>76</v>
      </c>
      <c r="G33">
        <v>2023</v>
      </c>
      <c r="H33">
        <v>1</v>
      </c>
      <c r="P33">
        <v>1</v>
      </c>
      <c r="S33" s="4"/>
      <c r="V33">
        <v>1</v>
      </c>
      <c r="AA33">
        <v>1</v>
      </c>
      <c r="AD33">
        <v>1</v>
      </c>
      <c r="AE33">
        <f t="shared" si="0"/>
        <v>0</v>
      </c>
      <c r="AF33">
        <f t="shared" si="5"/>
        <v>1</v>
      </c>
      <c r="AG33" t="str">
        <f t="shared" si="1"/>
        <v>DBLP:conf/conll/PatelCA22</v>
      </c>
      <c r="AH33" t="str">
        <f t="shared" si="2"/>
        <v/>
      </c>
      <c r="AI33" t="str">
        <f t="shared" si="3"/>
        <v/>
      </c>
      <c r="AJ33" t="str">
        <f t="shared" si="4"/>
        <v/>
      </c>
      <c r="AK33">
        <f t="shared" si="10"/>
        <v>0</v>
      </c>
    </row>
    <row r="34" spans="1:37">
      <c r="A34">
        <f t="shared" si="6"/>
        <v>33</v>
      </c>
      <c r="B34" t="str" cm="1">
        <f t="array" ref="B34">_xlfn.IFS(ISBLANK(D34),"",ISBLANK(C34),"no venue",ISBLANK(E34),"no bib",ISNUMBER(SEARCH("xiv", C34)),"arxiv",SUM(I34:AA34)&lt;3,"no categories",TRUE,"")</f>
        <v/>
      </c>
      <c r="C34" s="1" t="s">
        <v>18</v>
      </c>
      <c r="D34" t="s">
        <v>74</v>
      </c>
      <c r="E34" t="s">
        <v>218</v>
      </c>
      <c r="F34" t="s">
        <v>153</v>
      </c>
      <c r="G34">
        <v>2023</v>
      </c>
      <c r="H34">
        <v>1</v>
      </c>
      <c r="M34">
        <v>1</v>
      </c>
      <c r="P34">
        <v>1</v>
      </c>
      <c r="Q34">
        <v>1</v>
      </c>
      <c r="S34" s="4"/>
      <c r="T34">
        <v>1</v>
      </c>
      <c r="AA34">
        <v>1</v>
      </c>
      <c r="AD34">
        <v>1</v>
      </c>
      <c r="AE34">
        <f t="shared" si="0"/>
        <v>0</v>
      </c>
      <c r="AF34">
        <f t="shared" si="5"/>
        <v>1</v>
      </c>
      <c r="AG34" t="str">
        <f t="shared" ref="AG34:AG65" si="11">IF(AF34,E34,"")</f>
        <v>DBLP:conf/emnlp/Don-YehiyaCA22</v>
      </c>
      <c r="AH34" t="str">
        <f t="shared" ref="AH34:AH65" si="12">IF(W34,E34,"")</f>
        <v/>
      </c>
      <c r="AI34" t="str">
        <f t="shared" ref="AI34:AI65" si="13">IF(Y34,E34,"")</f>
        <v/>
      </c>
      <c r="AJ34" t="str">
        <f t="shared" si="4"/>
        <v/>
      </c>
    </row>
    <row r="35" spans="1:37">
      <c r="A35">
        <f t="shared" si="6"/>
        <v>34</v>
      </c>
      <c r="B35" t="str" cm="1">
        <f t="array" ref="B35">_xlfn.IFS(ISBLANK(D35),"",ISBLANK(C35),"no venue",ISBLANK(E35),"no bib",ISNUMBER(SEARCH("xiv", C35)),"arxiv",SUM(I35:AA35)&lt;3,"no categories",TRUE,"")</f>
        <v/>
      </c>
      <c r="C35" s="1" t="s">
        <v>17</v>
      </c>
      <c r="D35" t="s">
        <v>72</v>
      </c>
      <c r="E35" t="s">
        <v>217</v>
      </c>
      <c r="F35" t="s">
        <v>73</v>
      </c>
      <c r="G35">
        <v>2023</v>
      </c>
      <c r="H35">
        <v>1</v>
      </c>
      <c r="P35">
        <v>1</v>
      </c>
      <c r="Q35">
        <v>1</v>
      </c>
      <c r="S35" s="4">
        <v>1</v>
      </c>
      <c r="AA35">
        <v>1</v>
      </c>
      <c r="AD35">
        <v>1</v>
      </c>
      <c r="AE35">
        <f t="shared" si="0"/>
        <v>0</v>
      </c>
      <c r="AF35">
        <f t="shared" si="5"/>
        <v>1</v>
      </c>
      <c r="AG35" t="str">
        <f t="shared" si="11"/>
        <v>DBLP:conf/acl/NeemanAHCSA23</v>
      </c>
      <c r="AH35" t="str">
        <f t="shared" si="12"/>
        <v/>
      </c>
      <c r="AI35" t="str">
        <f t="shared" si="13"/>
        <v/>
      </c>
      <c r="AJ35" t="str">
        <f t="shared" si="4"/>
        <v/>
      </c>
      <c r="AK35">
        <f>IF(Z35+T35&gt;1,1,0)</f>
        <v>0</v>
      </c>
    </row>
    <row r="36" spans="1:37">
      <c r="A36">
        <f t="shared" si="6"/>
        <v>35</v>
      </c>
      <c r="B36" t="str" cm="1">
        <f t="array" ref="B36">_xlfn.IFS(ISBLANK(D36),"",ISBLANK(C36),"no venue",ISBLANK(E36),"no bib",ISNUMBER(SEARCH("xiv", C36)),"arxiv",SUM(I36:AA36)&lt;3,"no categories",TRUE,"")</f>
        <v/>
      </c>
      <c r="C36" s="1" t="s">
        <v>16</v>
      </c>
      <c r="D36" t="s">
        <v>71</v>
      </c>
      <c r="E36" t="s">
        <v>216</v>
      </c>
      <c r="F36" t="s">
        <v>155</v>
      </c>
      <c r="G36">
        <v>2023</v>
      </c>
      <c r="H36">
        <v>1</v>
      </c>
      <c r="K36">
        <v>1</v>
      </c>
      <c r="Q36">
        <v>1</v>
      </c>
      <c r="S36" s="4">
        <v>1</v>
      </c>
      <c r="W36">
        <v>1</v>
      </c>
      <c r="X36">
        <v>1</v>
      </c>
      <c r="Y36">
        <v>1</v>
      </c>
      <c r="Z36">
        <v>1</v>
      </c>
      <c r="AA36">
        <v>1</v>
      </c>
      <c r="AD36">
        <v>1</v>
      </c>
      <c r="AE36">
        <f t="shared" si="0"/>
        <v>0</v>
      </c>
      <c r="AF36">
        <f t="shared" si="5"/>
        <v>0</v>
      </c>
      <c r="AG36" t="str">
        <f t="shared" si="11"/>
        <v/>
      </c>
      <c r="AH36" t="str">
        <f t="shared" si="12"/>
        <v>DBLP:conf/acl/Don-YehiyaVRSC23</v>
      </c>
      <c r="AI36" t="str">
        <f t="shared" si="13"/>
        <v>DBLP:conf/acl/Don-YehiyaVRSC23</v>
      </c>
      <c r="AJ36" t="str">
        <f t="shared" si="4"/>
        <v/>
      </c>
    </row>
    <row r="37" spans="1:37">
      <c r="A37">
        <f t="shared" si="6"/>
        <v>36</v>
      </c>
      <c r="B37" t="str" cm="1">
        <f t="array" ref="B37">_xlfn.IFS(ISBLANK(D37),"",ISBLANK(C37),"no venue",ISBLANK(E37),"no bib",ISNUMBER(SEARCH("xiv", C37)),"arxiv",SUM(I37:AA37)&lt;3,"no categories",TRUE,"")</f>
        <v/>
      </c>
      <c r="C37" s="1" t="s">
        <v>268</v>
      </c>
      <c r="D37" t="s">
        <v>269</v>
      </c>
      <c r="E37" t="s">
        <v>265</v>
      </c>
      <c r="F37" t="s">
        <v>266</v>
      </c>
      <c r="G37">
        <v>2023</v>
      </c>
      <c r="H37">
        <v>1</v>
      </c>
      <c r="I37">
        <v>1</v>
      </c>
      <c r="O37">
        <v>1</v>
      </c>
      <c r="P37">
        <v>1</v>
      </c>
      <c r="R37">
        <v>1</v>
      </c>
      <c r="S37" s="4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D37">
        <v>1</v>
      </c>
      <c r="AE37">
        <f t="shared" si="0"/>
        <v>0</v>
      </c>
      <c r="AF37">
        <f t="shared" si="5"/>
        <v>1</v>
      </c>
      <c r="AG37" t="str">
        <f t="shared" si="11"/>
        <v>warstadt2023findings</v>
      </c>
      <c r="AH37" t="str">
        <f t="shared" si="12"/>
        <v>warstadt2023findings</v>
      </c>
      <c r="AI37" t="str">
        <f t="shared" si="13"/>
        <v>warstadt2023findings</v>
      </c>
      <c r="AK37">
        <f>IF(Z37+T37&gt;1,1,0)</f>
        <v>1</v>
      </c>
    </row>
    <row r="38" spans="1:37">
      <c r="A38">
        <f t="shared" si="6"/>
        <v>37</v>
      </c>
      <c r="B38" t="str" cm="1">
        <f t="array" ref="B38">_xlfn.IFS(ISBLANK(D38),"",ISBLANK(C38),"no venue",ISBLANK(E38),"no bib",ISNUMBER(SEARCH("xiv", C38)),"arxiv",SUM(I38:AA38)&lt;3,"no categories",TRUE,"")</f>
        <v/>
      </c>
      <c r="C38" s="1" t="s">
        <v>13</v>
      </c>
      <c r="D38" t="s">
        <v>70</v>
      </c>
      <c r="E38" t="s">
        <v>215</v>
      </c>
      <c r="F38" t="s">
        <v>154</v>
      </c>
      <c r="G38">
        <v>2023</v>
      </c>
      <c r="H38">
        <v>1</v>
      </c>
      <c r="K38">
        <v>1</v>
      </c>
      <c r="O38">
        <v>1</v>
      </c>
      <c r="P38">
        <v>1</v>
      </c>
      <c r="Q38">
        <v>1</v>
      </c>
      <c r="R38">
        <v>1</v>
      </c>
      <c r="S38" s="4">
        <v>1</v>
      </c>
      <c r="T38">
        <v>1</v>
      </c>
      <c r="W38">
        <v>1</v>
      </c>
      <c r="X38">
        <v>1</v>
      </c>
      <c r="Y38">
        <v>1</v>
      </c>
      <c r="Z38">
        <v>1</v>
      </c>
      <c r="AA38">
        <v>1</v>
      </c>
      <c r="AD38">
        <v>1</v>
      </c>
      <c r="AE38">
        <f t="shared" si="0"/>
        <v>0</v>
      </c>
      <c r="AF38">
        <f t="shared" si="5"/>
        <v>1</v>
      </c>
      <c r="AG38" t="str">
        <f t="shared" si="11"/>
        <v>DBLP:conf/emnlp/ChoshenVDSK23</v>
      </c>
      <c r="AH38" t="str">
        <f t="shared" si="12"/>
        <v>DBLP:conf/emnlp/ChoshenVDSK23</v>
      </c>
      <c r="AI38" t="str">
        <f t="shared" si="13"/>
        <v>DBLP:conf/emnlp/ChoshenVDSK23</v>
      </c>
      <c r="AJ38" t="str">
        <f t="shared" ref="AJ38:AJ70" si="14">IF(AE38,E38,"")</f>
        <v/>
      </c>
    </row>
    <row r="39" spans="1:37">
      <c r="A39">
        <f t="shared" si="6"/>
        <v>38</v>
      </c>
      <c r="B39" t="str" cm="1">
        <f t="array" ref="B39">_xlfn.IFS(ISBLANK(D39),"",ISBLANK(C39),"no venue",ISBLANK(E39),"no bib",ISNUMBER(SEARCH("xiv", C39)),"arxiv",SUM(I39:AA39)&lt;3,"no categories",TRUE,"")</f>
        <v/>
      </c>
      <c r="C39" s="1" t="s">
        <v>13</v>
      </c>
      <c r="D39" t="s">
        <v>104</v>
      </c>
      <c r="E39" t="s">
        <v>214</v>
      </c>
      <c r="F39" t="s">
        <v>103</v>
      </c>
      <c r="G39">
        <v>2023</v>
      </c>
      <c r="H39">
        <v>1</v>
      </c>
      <c r="K39">
        <v>1</v>
      </c>
      <c r="P39">
        <v>1</v>
      </c>
      <c r="S39" s="4"/>
      <c r="AA39">
        <v>1</v>
      </c>
      <c r="AD39">
        <v>1</v>
      </c>
      <c r="AE39">
        <f t="shared" si="0"/>
        <v>0</v>
      </c>
      <c r="AF39">
        <f t="shared" si="5"/>
        <v>1</v>
      </c>
      <c r="AG39" t="str">
        <f t="shared" si="11"/>
        <v>DBLP:conf/emnlp/GuetaVRSKC23</v>
      </c>
      <c r="AH39" t="str">
        <f t="shared" si="12"/>
        <v/>
      </c>
      <c r="AI39" t="str">
        <f t="shared" si="13"/>
        <v/>
      </c>
      <c r="AJ39" t="str">
        <f t="shared" si="14"/>
        <v/>
      </c>
    </row>
    <row r="40" spans="1:37">
      <c r="A40">
        <f t="shared" si="6"/>
        <v>39</v>
      </c>
      <c r="B40" t="str" cm="1">
        <f t="array" ref="B40">_xlfn.IFS(ISBLANK(D40),"",ISBLANK(C40),"no venue",ISBLANK(E40),"no bib",ISNUMBER(SEARCH("xiv", C40)),"arxiv",SUM(I40:AA40)&lt;3,"no categories",TRUE,"")</f>
        <v/>
      </c>
      <c r="C40" s="1" t="s">
        <v>15</v>
      </c>
      <c r="D40" t="s">
        <v>102</v>
      </c>
      <c r="E40" t="s">
        <v>207</v>
      </c>
      <c r="F40" t="s">
        <v>101</v>
      </c>
      <c r="G40">
        <v>2023</v>
      </c>
      <c r="H40">
        <v>1</v>
      </c>
      <c r="P40">
        <v>1</v>
      </c>
      <c r="Q40">
        <v>1</v>
      </c>
      <c r="S40" s="4"/>
      <c r="T40">
        <v>1</v>
      </c>
      <c r="V40">
        <v>1</v>
      </c>
      <c r="AA40">
        <v>1</v>
      </c>
      <c r="AD40">
        <v>1</v>
      </c>
      <c r="AE40">
        <f t="shared" si="0"/>
        <v>0</v>
      </c>
      <c r="AF40">
        <f t="shared" si="5"/>
        <v>1</v>
      </c>
      <c r="AG40" t="str">
        <f t="shared" si="11"/>
        <v>DBLP:conf/conll/KaridiCPA23</v>
      </c>
      <c r="AH40" t="str">
        <f t="shared" si="12"/>
        <v/>
      </c>
      <c r="AI40" t="str">
        <f t="shared" si="13"/>
        <v/>
      </c>
      <c r="AJ40" t="str">
        <f t="shared" si="14"/>
        <v/>
      </c>
      <c r="AK40">
        <f>IF(Z40+T40&gt;1,1,0)</f>
        <v>0</v>
      </c>
    </row>
    <row r="41" spans="1:37" ht="28">
      <c r="A41">
        <f t="shared" si="6"/>
        <v>40</v>
      </c>
      <c r="B41" t="str" cm="1">
        <f t="array" ref="B41">_xlfn.IFS(ISBLANK(D41),"",ISBLANK(C41),"no venue",ISBLANK(E41),"no bib",ISNUMBER(SEARCH("xiv", C41)),"arxiv",SUM(I41:AA41)&lt;3,"no categories",TRUE,"")</f>
        <v/>
      </c>
      <c r="C41" s="1" t="s">
        <v>14</v>
      </c>
      <c r="D41" t="s">
        <v>100</v>
      </c>
      <c r="E41" t="s">
        <v>208</v>
      </c>
      <c r="F41" t="s">
        <v>99</v>
      </c>
      <c r="G41">
        <v>2023</v>
      </c>
      <c r="H41">
        <v>1</v>
      </c>
      <c r="K41">
        <v>1</v>
      </c>
      <c r="P41">
        <v>1</v>
      </c>
      <c r="Q41">
        <v>1</v>
      </c>
      <c r="R41" s="6"/>
      <c r="S41" s="4"/>
      <c r="W41">
        <v>1</v>
      </c>
      <c r="Y41">
        <v>1</v>
      </c>
      <c r="Z41">
        <v>1</v>
      </c>
      <c r="AA41">
        <v>1</v>
      </c>
      <c r="AD41">
        <v>1</v>
      </c>
      <c r="AE41">
        <f t="shared" ref="AE41:AE79" si="15">IF(SUM(Y41,T41,P41,W41),0,1)</f>
        <v>0</v>
      </c>
      <c r="AF41">
        <f t="shared" si="5"/>
        <v>1</v>
      </c>
      <c r="AG41" t="str">
        <f t="shared" si="11"/>
        <v>DBLP:conf/nips/YadavTCRB23</v>
      </c>
      <c r="AH41" t="str">
        <f t="shared" si="12"/>
        <v>DBLP:conf/nips/YadavTCRB23</v>
      </c>
      <c r="AI41" t="str">
        <f t="shared" si="13"/>
        <v>DBLP:conf/nips/YadavTCRB23</v>
      </c>
      <c r="AJ41" t="str">
        <f t="shared" si="14"/>
        <v/>
      </c>
    </row>
    <row r="42" spans="1:37">
      <c r="A42">
        <f t="shared" si="6"/>
        <v>41</v>
      </c>
      <c r="B42" t="str" cm="1">
        <f t="array" ref="B42">_xlfn.IFS(ISBLANK(D42),"",ISBLANK(C42),"no venue",ISBLANK(E42),"no bib",ISNUMBER(SEARCH("xiv", C42)),"arxiv",SUM(I42:AA42)&lt;3,"no categories",TRUE,"")</f>
        <v/>
      </c>
      <c r="C42" s="2" t="s">
        <v>13</v>
      </c>
      <c r="D42" t="s">
        <v>69</v>
      </c>
      <c r="E42" t="s">
        <v>197</v>
      </c>
      <c r="F42" t="s">
        <v>153</v>
      </c>
      <c r="G42">
        <v>2023</v>
      </c>
      <c r="H42">
        <v>1</v>
      </c>
      <c r="M42">
        <v>1</v>
      </c>
      <c r="O42">
        <v>1</v>
      </c>
      <c r="R42">
        <v>1</v>
      </c>
      <c r="S42" s="4"/>
      <c r="V42">
        <v>1</v>
      </c>
      <c r="W42">
        <v>1</v>
      </c>
      <c r="AA42">
        <v>1</v>
      </c>
      <c r="AD42">
        <v>1</v>
      </c>
      <c r="AE42">
        <f t="shared" si="15"/>
        <v>0</v>
      </c>
      <c r="AF42">
        <f t="shared" si="5"/>
        <v>0</v>
      </c>
      <c r="AG42" t="str">
        <f t="shared" si="11"/>
        <v/>
      </c>
      <c r="AH42" t="str">
        <f t="shared" si="12"/>
        <v>DBLP:conf/emnlp/Don-YehiyaCA23</v>
      </c>
      <c r="AI42" t="str">
        <f t="shared" si="13"/>
        <v/>
      </c>
      <c r="AJ42" t="str">
        <f t="shared" si="14"/>
        <v/>
      </c>
    </row>
    <row r="43" spans="1:37">
      <c r="A43">
        <f t="shared" si="6"/>
        <v>42</v>
      </c>
      <c r="B43" t="str" cm="1">
        <f t="array" ref="B43">_xlfn.IFS(ISBLANK(D43),"",ISBLANK(C43),"no venue",ISBLANK(E43),"no bib",ISNUMBER(SEARCH("xiv", C43)),"arxiv",SUM(I43:AA43)&lt;3,"no categories",TRUE,"")</f>
        <v/>
      </c>
      <c r="C43" s="2" t="s">
        <v>12</v>
      </c>
      <c r="D43" t="s">
        <v>67</v>
      </c>
      <c r="E43" t="s">
        <v>196</v>
      </c>
      <c r="F43" t="s">
        <v>68</v>
      </c>
      <c r="G43">
        <v>2024</v>
      </c>
      <c r="H43">
        <v>1</v>
      </c>
      <c r="O43">
        <v>1</v>
      </c>
      <c r="P43">
        <v>1</v>
      </c>
      <c r="S43" s="4"/>
      <c r="T43">
        <v>1</v>
      </c>
      <c r="U43">
        <v>1</v>
      </c>
      <c r="V43">
        <v>1</v>
      </c>
      <c r="W43">
        <v>1</v>
      </c>
      <c r="X43">
        <v>1</v>
      </c>
      <c r="AA43">
        <v>1</v>
      </c>
      <c r="AB43">
        <v>1</v>
      </c>
      <c r="AD43">
        <v>1</v>
      </c>
      <c r="AE43">
        <f t="shared" si="15"/>
        <v>0</v>
      </c>
      <c r="AF43">
        <f t="shared" si="5"/>
        <v>1</v>
      </c>
      <c r="AG43" t="str">
        <f t="shared" si="11"/>
        <v>DBLP:journals/corr/abs-2407-21530</v>
      </c>
      <c r="AH43" t="str">
        <f t="shared" si="12"/>
        <v>DBLP:journals/corr/abs-2407-21530</v>
      </c>
      <c r="AI43" t="str">
        <f t="shared" si="13"/>
        <v/>
      </c>
      <c r="AJ43" t="str">
        <f t="shared" si="14"/>
        <v/>
      </c>
      <c r="AK43">
        <f t="shared" ref="AK43:AK54" si="16">IF(Z43+T43&gt;1,1,0)</f>
        <v>0</v>
      </c>
    </row>
    <row r="44" spans="1:37" ht="18">
      <c r="A44">
        <f t="shared" si="6"/>
        <v>43</v>
      </c>
      <c r="B44" t="str" cm="1">
        <f t="array" ref="B44">_xlfn.IFS(ISBLANK(D44),"",ISBLANK(C44),"no venue",ISBLANK(E44),"no bib",ISNUMBER(SEARCH("xiv", C44)),"arxiv",SUM(I44:AA44)&lt;3,"no categories",TRUE,"")</f>
        <v/>
      </c>
      <c r="C44" s="1" t="s">
        <v>176</v>
      </c>
      <c r="D44" t="s">
        <v>177</v>
      </c>
      <c r="E44" t="s">
        <v>195</v>
      </c>
      <c r="F44" t="s">
        <v>178</v>
      </c>
      <c r="G44">
        <v>2024</v>
      </c>
      <c r="H44">
        <v>1</v>
      </c>
      <c r="P44">
        <v>1</v>
      </c>
      <c r="Q44">
        <v>1</v>
      </c>
      <c r="S44" s="4"/>
      <c r="Z44">
        <v>1</v>
      </c>
      <c r="AA44">
        <v>1</v>
      </c>
      <c r="AD44">
        <v>1</v>
      </c>
      <c r="AE44">
        <f t="shared" si="15"/>
        <v>0</v>
      </c>
      <c r="AF44">
        <f t="shared" si="5"/>
        <v>1</v>
      </c>
      <c r="AG44" t="str">
        <f t="shared" si="11"/>
        <v>DBLP:conf/coling/DinKCG24</v>
      </c>
      <c r="AH44" t="str">
        <f t="shared" si="12"/>
        <v/>
      </c>
      <c r="AI44" t="str">
        <f t="shared" si="13"/>
        <v/>
      </c>
      <c r="AJ44" t="str">
        <f t="shared" si="14"/>
        <v/>
      </c>
      <c r="AK44">
        <f t="shared" si="16"/>
        <v>0</v>
      </c>
    </row>
    <row r="45" spans="1:37">
      <c r="A45">
        <f t="shared" si="6"/>
        <v>44</v>
      </c>
      <c r="B45" t="str" cm="1">
        <f t="array" ref="B45">_xlfn.IFS(ISBLANK(D45),"",ISBLANK(C45),"no venue",ISBLANK(E45),"no bib",ISNUMBER(SEARCH("xiv", C45)),"arxiv",SUM(I45:AA45)&lt;3,"no categories",TRUE,"")</f>
        <v/>
      </c>
      <c r="C45" s="1" t="s">
        <v>176</v>
      </c>
      <c r="D45" t="s">
        <v>273</v>
      </c>
      <c r="E45" t="s">
        <v>272</v>
      </c>
      <c r="F45" t="s">
        <v>274</v>
      </c>
      <c r="G45">
        <v>2024</v>
      </c>
      <c r="H45">
        <v>1</v>
      </c>
      <c r="S45" s="4"/>
      <c r="T45">
        <v>1</v>
      </c>
      <c r="U45">
        <v>1</v>
      </c>
      <c r="W45">
        <v>1</v>
      </c>
      <c r="X45">
        <v>1</v>
      </c>
      <c r="Y45">
        <v>1</v>
      </c>
      <c r="Z45">
        <v>1</v>
      </c>
      <c r="AD45">
        <v>1</v>
      </c>
      <c r="AE45">
        <f t="shared" si="15"/>
        <v>0</v>
      </c>
      <c r="AF45">
        <f t="shared" si="5"/>
        <v>1</v>
      </c>
      <c r="AG45" t="str">
        <f t="shared" si="11"/>
        <v>choshen2024navigating</v>
      </c>
      <c r="AH45" t="str">
        <f t="shared" si="12"/>
        <v>choshen2024navigating</v>
      </c>
      <c r="AI45" t="str">
        <f t="shared" si="13"/>
        <v>choshen2024navigating</v>
      </c>
      <c r="AJ45" t="str">
        <f t="shared" si="14"/>
        <v/>
      </c>
      <c r="AK45">
        <f t="shared" si="16"/>
        <v>1</v>
      </c>
    </row>
    <row r="46" spans="1:37">
      <c r="A46">
        <f t="shared" si="6"/>
        <v>45</v>
      </c>
      <c r="B46" t="str" cm="1">
        <f t="array" ref="B46">_xlfn.IFS(ISBLANK(D46),"",ISBLANK(C46),"no venue",ISBLANK(E46),"no bib",ISNUMBER(SEARCH("xiv", C46)),"arxiv",SUM(I46:AA46)&lt;3,"no categories",TRUE,"")</f>
        <v/>
      </c>
      <c r="C46" s="2" t="s">
        <v>11</v>
      </c>
      <c r="D46" t="s">
        <v>66</v>
      </c>
      <c r="E46" s="9" t="s">
        <v>242</v>
      </c>
      <c r="F46" t="s">
        <v>152</v>
      </c>
      <c r="G46">
        <v>2024</v>
      </c>
      <c r="H46">
        <v>1</v>
      </c>
      <c r="S46" s="4"/>
      <c r="T46">
        <v>1</v>
      </c>
      <c r="X46">
        <v>1</v>
      </c>
      <c r="Y46">
        <v>1</v>
      </c>
      <c r="Z46">
        <v>1</v>
      </c>
      <c r="AA46">
        <v>1</v>
      </c>
      <c r="AD46">
        <v>1</v>
      </c>
      <c r="AE46">
        <f t="shared" si="15"/>
        <v>0</v>
      </c>
      <c r="AF46">
        <f t="shared" si="5"/>
        <v>1</v>
      </c>
      <c r="AG46" t="str">
        <f t="shared" si="11"/>
        <v>DBLP:conf/naacl/PerlitzBGAESSSC24</v>
      </c>
      <c r="AH46" t="str">
        <f t="shared" si="12"/>
        <v/>
      </c>
      <c r="AI46" t="str">
        <f t="shared" si="13"/>
        <v>DBLP:conf/naacl/PerlitzBGAESSSC24</v>
      </c>
      <c r="AJ46" t="str">
        <f t="shared" si="14"/>
        <v/>
      </c>
      <c r="AK46">
        <f t="shared" si="16"/>
        <v>1</v>
      </c>
    </row>
    <row r="47" spans="1:37">
      <c r="A47">
        <f t="shared" si="6"/>
        <v>46</v>
      </c>
      <c r="B47" t="str" cm="1">
        <f t="array" ref="B47">_xlfn.IFS(ISBLANK(D47),"",ISBLANK(C47),"no venue",ISBLANK(E47),"no bib",ISNUMBER(SEARCH("xiv", C47)),"arxiv",SUM(I47:AA47)&lt;3,"no categories",TRUE,"")</f>
        <v/>
      </c>
      <c r="C47" s="1" t="s">
        <v>10</v>
      </c>
      <c r="D47" t="s">
        <v>64</v>
      </c>
      <c r="E47" t="s">
        <v>213</v>
      </c>
      <c r="F47" t="s">
        <v>65</v>
      </c>
      <c r="G47">
        <v>2024</v>
      </c>
      <c r="H47">
        <v>1</v>
      </c>
      <c r="P47">
        <v>1</v>
      </c>
      <c r="Q47">
        <v>1</v>
      </c>
      <c r="S47" s="4">
        <v>1</v>
      </c>
      <c r="AA47">
        <v>1</v>
      </c>
      <c r="AD47">
        <v>1</v>
      </c>
      <c r="AE47">
        <f t="shared" si="15"/>
        <v>0</v>
      </c>
      <c r="AF47">
        <f t="shared" si="5"/>
        <v>1</v>
      </c>
      <c r="AG47" t="str">
        <f t="shared" si="11"/>
        <v>DBLP:conf/acl/AkyurekACWA24</v>
      </c>
      <c r="AH47" t="str">
        <f t="shared" si="12"/>
        <v/>
      </c>
      <c r="AI47" t="str">
        <f t="shared" si="13"/>
        <v/>
      </c>
      <c r="AJ47" t="str">
        <f t="shared" si="14"/>
        <v/>
      </c>
      <c r="AK47">
        <f t="shared" si="16"/>
        <v>0</v>
      </c>
    </row>
    <row r="48" spans="1:37">
      <c r="A48">
        <f t="shared" si="6"/>
        <v>47</v>
      </c>
      <c r="B48" t="str" cm="1">
        <f t="array" ref="B48">_xlfn.IFS(ISBLANK(D48),"",ISBLANK(C48),"no venue",ISBLANK(E48),"no bib",ISNUMBER(SEARCH("xiv", C48)),"arxiv",SUM(I48:AA48)&lt;3,"no categories",TRUE,"")</f>
        <v/>
      </c>
      <c r="C48" s="1" t="s">
        <v>9</v>
      </c>
      <c r="D48" t="s">
        <v>267</v>
      </c>
      <c r="E48" t="s">
        <v>243</v>
      </c>
      <c r="F48" t="s">
        <v>266</v>
      </c>
      <c r="G48">
        <v>2024</v>
      </c>
      <c r="H48">
        <v>1</v>
      </c>
      <c r="N48">
        <v>1</v>
      </c>
      <c r="O48">
        <v>1</v>
      </c>
      <c r="P48">
        <v>1</v>
      </c>
      <c r="R48">
        <v>1</v>
      </c>
      <c r="S48" s="4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D48">
        <v>1</v>
      </c>
      <c r="AE48">
        <f t="shared" si="15"/>
        <v>0</v>
      </c>
      <c r="AF48">
        <f t="shared" si="5"/>
        <v>1</v>
      </c>
      <c r="AG48" t="str">
        <f t="shared" si="11"/>
        <v>warstadt2024insights</v>
      </c>
      <c r="AH48" t="str">
        <f t="shared" si="12"/>
        <v>warstadt2024insights</v>
      </c>
      <c r="AI48" t="str">
        <f t="shared" si="13"/>
        <v>warstadt2024insights</v>
      </c>
      <c r="AJ48" t="str">
        <f t="shared" si="14"/>
        <v/>
      </c>
      <c r="AK48">
        <f t="shared" si="16"/>
        <v>1</v>
      </c>
    </row>
    <row r="49" spans="1:37">
      <c r="A49">
        <f t="shared" si="6"/>
        <v>48</v>
      </c>
      <c r="B49" t="str" cm="1">
        <f t="array" ref="B49">_xlfn.IFS(ISBLANK(D49),"",ISBLANK(C49),"no venue",ISBLANK(E49),"no bib",ISNUMBER(SEARCH("xiv", C49)),"arxiv",SUM(I49:AA49)&lt;3,"no categories",TRUE,"")</f>
        <v/>
      </c>
      <c r="C49" s="1" t="s">
        <v>8</v>
      </c>
      <c r="D49" t="s">
        <v>175</v>
      </c>
      <c r="E49" t="s">
        <v>212</v>
      </c>
      <c r="F49" t="s">
        <v>174</v>
      </c>
      <c r="G49">
        <v>2024</v>
      </c>
      <c r="H49">
        <v>1</v>
      </c>
      <c r="Q49">
        <v>1</v>
      </c>
      <c r="R49">
        <v>1</v>
      </c>
      <c r="S49" s="4">
        <v>1</v>
      </c>
      <c r="Y49">
        <v>1</v>
      </c>
      <c r="Z49">
        <v>1</v>
      </c>
      <c r="AA49">
        <v>1</v>
      </c>
      <c r="AD49">
        <v>1</v>
      </c>
      <c r="AE49">
        <f t="shared" si="15"/>
        <v>0</v>
      </c>
      <c r="AF49">
        <f t="shared" si="5"/>
        <v>0</v>
      </c>
      <c r="AG49" t="str">
        <f t="shared" si="11"/>
        <v/>
      </c>
      <c r="AH49" t="str">
        <f t="shared" si="12"/>
        <v/>
      </c>
      <c r="AI49" t="str">
        <f t="shared" si="13"/>
        <v>DBLP:conf/iclr/YehudaiCMAMSC24</v>
      </c>
      <c r="AJ49" t="str">
        <f t="shared" si="14"/>
        <v/>
      </c>
      <c r="AK49">
        <f t="shared" si="16"/>
        <v>0</v>
      </c>
    </row>
    <row r="50" spans="1:37">
      <c r="A50">
        <f t="shared" si="6"/>
        <v>49</v>
      </c>
      <c r="B50" t="str" cm="1">
        <f t="array" ref="B50">_xlfn.IFS(ISBLANK(D50),"",ISBLANK(C50),"no venue",ISBLANK(E50),"no bib",ISNUMBER(SEARCH("xiv", C50)),"arxiv",SUM(I50:AA50)&lt;3,"no categories",TRUE,"")</f>
        <v/>
      </c>
      <c r="C50" s="2" t="s">
        <v>7</v>
      </c>
      <c r="D50" t="s">
        <v>173</v>
      </c>
      <c r="E50" t="s">
        <v>211</v>
      </c>
      <c r="F50" t="s">
        <v>172</v>
      </c>
      <c r="G50">
        <v>2024</v>
      </c>
      <c r="H50">
        <v>1</v>
      </c>
      <c r="P50">
        <v>1</v>
      </c>
      <c r="Q50">
        <v>1</v>
      </c>
      <c r="S50" s="4">
        <v>1</v>
      </c>
      <c r="Z50">
        <v>1</v>
      </c>
      <c r="AA50">
        <v>1</v>
      </c>
      <c r="AD50">
        <v>1</v>
      </c>
      <c r="AE50">
        <f t="shared" si="15"/>
        <v>0</v>
      </c>
      <c r="AF50">
        <f t="shared" si="5"/>
        <v>1</v>
      </c>
      <c r="AG50" t="str">
        <f t="shared" si="11"/>
        <v>DBLP:conf/icml/ZhuGNBGCGY024</v>
      </c>
      <c r="AH50" t="str">
        <f t="shared" si="12"/>
        <v/>
      </c>
      <c r="AI50" t="str">
        <f t="shared" si="13"/>
        <v/>
      </c>
      <c r="AJ50" t="str">
        <f t="shared" si="14"/>
        <v/>
      </c>
      <c r="AK50">
        <f t="shared" si="16"/>
        <v>0</v>
      </c>
    </row>
    <row r="51" spans="1:37">
      <c r="A51">
        <f t="shared" si="6"/>
        <v>50</v>
      </c>
      <c r="B51" t="str" cm="1">
        <f t="array" ref="B51">_xlfn.IFS(ISBLANK(D51),"",ISBLANK(C51),"no venue",ISBLANK(E51),"no bib",ISNUMBER(SEARCH("xiv", C51)),"arxiv",SUM(I51:AA51)&lt;3,"no categories",TRUE,"")</f>
        <v/>
      </c>
      <c r="C51" s="2" t="s">
        <v>7</v>
      </c>
      <c r="D51" t="s">
        <v>62</v>
      </c>
      <c r="E51" t="s">
        <v>210</v>
      </c>
      <c r="F51" t="s">
        <v>63</v>
      </c>
      <c r="G51">
        <v>2024</v>
      </c>
      <c r="H51">
        <v>1</v>
      </c>
      <c r="O51">
        <v>1</v>
      </c>
      <c r="Q51">
        <v>1</v>
      </c>
      <c r="S51" s="4"/>
      <c r="T51">
        <v>1</v>
      </c>
      <c r="W51">
        <v>1</v>
      </c>
      <c r="Y51">
        <v>1</v>
      </c>
      <c r="Z51">
        <v>1</v>
      </c>
      <c r="AA51">
        <v>1</v>
      </c>
      <c r="AD51">
        <v>1</v>
      </c>
      <c r="AE51">
        <f t="shared" si="15"/>
        <v>0</v>
      </c>
      <c r="AF51">
        <f t="shared" si="5"/>
        <v>1</v>
      </c>
      <c r="AG51" t="str">
        <f t="shared" si="11"/>
        <v>DBLP:conf/icml/PoloWCSXY24</v>
      </c>
      <c r="AH51" t="str">
        <f t="shared" si="12"/>
        <v>DBLP:conf/icml/PoloWCSXY24</v>
      </c>
      <c r="AI51" t="str">
        <f t="shared" si="13"/>
        <v>DBLP:conf/icml/PoloWCSXY24</v>
      </c>
      <c r="AJ51" t="str">
        <f t="shared" si="14"/>
        <v/>
      </c>
      <c r="AK51">
        <f t="shared" si="16"/>
        <v>1</v>
      </c>
    </row>
    <row r="52" spans="1:37">
      <c r="A52">
        <f t="shared" si="6"/>
        <v>51</v>
      </c>
      <c r="B52" t="str" cm="1">
        <f t="array" ref="B52">_xlfn.IFS(ISBLANK(D52),"",ISBLANK(C52),"no venue",ISBLANK(E52),"no bib",ISNUMBER(SEARCH("xiv", C52)),"arxiv",SUM(I52:AA52)&lt;3,"no categories",TRUE,"")</f>
        <v/>
      </c>
      <c r="C52" s="2" t="s">
        <v>6</v>
      </c>
      <c r="D52" t="s">
        <v>60</v>
      </c>
      <c r="E52" s="14" t="s">
        <v>194</v>
      </c>
      <c r="F52" t="s">
        <v>61</v>
      </c>
      <c r="G52">
        <v>2024</v>
      </c>
      <c r="H52">
        <v>1</v>
      </c>
      <c r="O52">
        <v>1</v>
      </c>
      <c r="P52">
        <v>1</v>
      </c>
      <c r="R52">
        <v>1</v>
      </c>
      <c r="S52" s="4"/>
      <c r="T52">
        <v>1</v>
      </c>
      <c r="V52">
        <v>1</v>
      </c>
      <c r="W52">
        <v>1</v>
      </c>
      <c r="X52">
        <v>1</v>
      </c>
      <c r="Y52">
        <v>1</v>
      </c>
      <c r="AA52">
        <v>1</v>
      </c>
      <c r="AD52">
        <v>1</v>
      </c>
      <c r="AE52">
        <f t="shared" si="15"/>
        <v>0</v>
      </c>
      <c r="AF52">
        <f t="shared" si="5"/>
        <v>1</v>
      </c>
      <c r="AG52" t="str">
        <f t="shared" si="11"/>
        <v>DBLP:journals/corr/abs-2404-18923</v>
      </c>
      <c r="AH52" t="str">
        <f t="shared" si="12"/>
        <v>DBLP:journals/corr/abs-2404-18923</v>
      </c>
      <c r="AI52" t="str">
        <f t="shared" si="13"/>
        <v>DBLP:journals/corr/abs-2404-18923</v>
      </c>
      <c r="AJ52" t="str">
        <f t="shared" si="14"/>
        <v/>
      </c>
      <c r="AK52">
        <f t="shared" si="16"/>
        <v>0</v>
      </c>
    </row>
    <row r="53" spans="1:37">
      <c r="A53">
        <f t="shared" si="6"/>
        <v>52</v>
      </c>
      <c r="B53" t="str" cm="1">
        <f t="array" ref="B53">_xlfn.IFS(ISBLANK(D53),"",ISBLANK(C53),"no venue",ISBLANK(E53),"no bib",ISNUMBER(SEARCH("xiv", C53)),"arxiv",SUM(I53:AA53)&lt;3,"no categories",TRUE,"")</f>
        <v/>
      </c>
      <c r="C53" s="2" t="s">
        <v>5</v>
      </c>
      <c r="D53" t="s">
        <v>59</v>
      </c>
      <c r="E53" t="s">
        <v>264</v>
      </c>
      <c r="F53" t="s">
        <v>151</v>
      </c>
      <c r="G53">
        <v>2024</v>
      </c>
      <c r="H53">
        <v>1</v>
      </c>
      <c r="O53">
        <v>1</v>
      </c>
      <c r="R53">
        <v>1</v>
      </c>
      <c r="S53" s="4"/>
      <c r="T53">
        <v>1</v>
      </c>
      <c r="U53">
        <v>1</v>
      </c>
      <c r="W53">
        <v>1</v>
      </c>
      <c r="Y53">
        <v>1</v>
      </c>
      <c r="AA53">
        <v>1</v>
      </c>
      <c r="AD53">
        <v>1</v>
      </c>
      <c r="AE53">
        <f t="shared" si="15"/>
        <v>0</v>
      </c>
      <c r="AF53">
        <f t="shared" si="5"/>
        <v>1</v>
      </c>
      <c r="AG53" t="str">
        <f t="shared" si="11"/>
        <v>bandel2024unitxt</v>
      </c>
      <c r="AH53" t="str">
        <f t="shared" si="12"/>
        <v>bandel2024unitxt</v>
      </c>
      <c r="AI53" t="str">
        <f t="shared" si="13"/>
        <v>bandel2024unitxt</v>
      </c>
      <c r="AJ53" t="str">
        <f t="shared" si="14"/>
        <v/>
      </c>
      <c r="AK53">
        <f t="shared" si="16"/>
        <v>0</v>
      </c>
    </row>
    <row r="54" spans="1:37">
      <c r="A54">
        <f t="shared" si="6"/>
        <v>53</v>
      </c>
      <c r="B54" t="str" cm="1">
        <f t="array" ref="B54">_xlfn.IFS(ISBLANK(D54),"",ISBLANK(C54),"no venue",ISBLANK(E54),"no bib",ISNUMBER(SEARCH("xiv", C54)),"arxiv",SUM(I54:AA54)&lt;3,"no categories",TRUE,"")</f>
        <v/>
      </c>
      <c r="C54" s="2" t="s">
        <v>4</v>
      </c>
      <c r="D54" t="s">
        <v>98</v>
      </c>
      <c r="E54" t="s">
        <v>209</v>
      </c>
      <c r="F54" t="s">
        <v>97</v>
      </c>
      <c r="G54">
        <v>2024</v>
      </c>
      <c r="H54">
        <v>1</v>
      </c>
      <c r="Q54">
        <v>1</v>
      </c>
      <c r="S54" s="4"/>
      <c r="T54">
        <v>1</v>
      </c>
      <c r="W54">
        <v>1</v>
      </c>
      <c r="X54">
        <v>1</v>
      </c>
      <c r="Y54">
        <v>1</v>
      </c>
      <c r="Z54">
        <v>1</v>
      </c>
      <c r="AA54">
        <v>1</v>
      </c>
      <c r="AD54">
        <v>1</v>
      </c>
      <c r="AE54">
        <f t="shared" si="15"/>
        <v>0</v>
      </c>
      <c r="AF54">
        <f t="shared" si="5"/>
        <v>1</v>
      </c>
      <c r="AG54" t="str">
        <f t="shared" si="11"/>
        <v>DBLP:conf/acl/Ashury-TahanGSC24</v>
      </c>
      <c r="AH54" t="str">
        <f t="shared" si="12"/>
        <v>DBLP:conf/acl/Ashury-TahanGSC24</v>
      </c>
      <c r="AI54" t="str">
        <f t="shared" si="13"/>
        <v>DBLP:conf/acl/Ashury-TahanGSC24</v>
      </c>
      <c r="AJ54" t="str">
        <f t="shared" si="14"/>
        <v/>
      </c>
      <c r="AK54">
        <f t="shared" si="16"/>
        <v>1</v>
      </c>
    </row>
    <row r="55" spans="1:37">
      <c r="A55">
        <f t="shared" si="6"/>
        <v>54</v>
      </c>
      <c r="B55" t="str" cm="1">
        <f t="array" ref="B55">_xlfn.IFS(ISBLANK(D55),"",ISBLANK(C55),"no venue",ISBLANK(E55),"no bib",ISNUMBER(SEARCH("xiv", C55)),"arxiv",SUM(I55:AA55)&lt;3,"no categories",TRUE,"")</f>
        <v/>
      </c>
      <c r="C55" s="2" t="s">
        <v>355</v>
      </c>
      <c r="D55" t="s">
        <v>57</v>
      </c>
      <c r="E55" t="s">
        <v>244</v>
      </c>
      <c r="F55" t="s">
        <v>58</v>
      </c>
      <c r="G55">
        <v>2024</v>
      </c>
      <c r="H55">
        <v>1</v>
      </c>
      <c r="K55">
        <v>1</v>
      </c>
      <c r="S55" s="4"/>
      <c r="W55">
        <v>1</v>
      </c>
      <c r="X55">
        <v>1</v>
      </c>
      <c r="Y55">
        <v>1</v>
      </c>
      <c r="Z55">
        <v>1</v>
      </c>
      <c r="AA55">
        <v>1</v>
      </c>
      <c r="AC55">
        <v>1</v>
      </c>
      <c r="AD55">
        <v>1</v>
      </c>
      <c r="AE55">
        <f t="shared" si="15"/>
        <v>0</v>
      </c>
      <c r="AF55">
        <f t="shared" si="5"/>
        <v>0</v>
      </c>
      <c r="AG55" t="str">
        <f t="shared" si="11"/>
        <v/>
      </c>
      <c r="AH55" t="str">
        <f t="shared" si="12"/>
        <v>yadav2024survey</v>
      </c>
      <c r="AI55" t="str">
        <f t="shared" si="13"/>
        <v>yadav2024survey</v>
      </c>
      <c r="AJ55" t="str">
        <f t="shared" si="14"/>
        <v/>
      </c>
    </row>
    <row r="56" spans="1:37">
      <c r="A56">
        <f t="shared" si="6"/>
        <v>55</v>
      </c>
      <c r="B56" t="str" cm="1">
        <f t="array" ref="B56">_xlfn.IFS(ISBLANK(D56),"",ISBLANK(C56),"no venue",ISBLANK(E56),"no bib",ISNUMBER(SEARCH("xiv", C56)),"arxiv",SUM(I56:AA56)&lt;3,"no categories",TRUE,"")</f>
        <v/>
      </c>
      <c r="C56" s="2" t="s">
        <v>307</v>
      </c>
      <c r="D56" s="2" t="s">
        <v>300</v>
      </c>
      <c r="E56" t="s">
        <v>193</v>
      </c>
      <c r="F56" t="s">
        <v>3</v>
      </c>
      <c r="G56">
        <v>2024</v>
      </c>
      <c r="H56">
        <v>1</v>
      </c>
      <c r="O56">
        <v>1</v>
      </c>
      <c r="R56">
        <v>1</v>
      </c>
      <c r="S56" s="4"/>
      <c r="T56">
        <v>1</v>
      </c>
      <c r="V56">
        <v>1</v>
      </c>
      <c r="Y56">
        <v>1</v>
      </c>
      <c r="Z56">
        <v>1</v>
      </c>
      <c r="AA56">
        <v>1</v>
      </c>
      <c r="AD56">
        <v>1</v>
      </c>
      <c r="AE56">
        <f t="shared" si="15"/>
        <v>0</v>
      </c>
      <c r="AF56">
        <f t="shared" si="5"/>
        <v>1</v>
      </c>
      <c r="AG56" t="str">
        <f t="shared" si="11"/>
        <v>DBLP:journals/corr/abs-2405-09605</v>
      </c>
      <c r="AH56" t="str">
        <f t="shared" si="12"/>
        <v/>
      </c>
      <c r="AI56" t="str">
        <f t="shared" si="13"/>
        <v>DBLP:journals/corr/abs-2405-09605</v>
      </c>
      <c r="AJ56" t="str">
        <f t="shared" si="14"/>
        <v/>
      </c>
      <c r="AK56">
        <f t="shared" ref="AK56:AK61" si="17">IF(Z56+T56&gt;1,1,0)</f>
        <v>1</v>
      </c>
    </row>
    <row r="57" spans="1:37">
      <c r="A57">
        <f t="shared" si="6"/>
        <v>56</v>
      </c>
      <c r="B57" t="str" cm="1">
        <f t="array" ref="B57">_xlfn.IFS(ISBLANK(D57),"",ISBLANK(C57),"no venue",ISBLANK(E57),"no bib",ISNUMBER(SEARCH("xiv", C57)),"arxiv",SUM(I57:AA57)&lt;3,"no categories",TRUE,"")</f>
        <v/>
      </c>
      <c r="C57" s="2" t="s">
        <v>185</v>
      </c>
      <c r="D57" t="s">
        <v>170</v>
      </c>
      <c r="E57" s="12" t="s">
        <v>309</v>
      </c>
      <c r="F57" t="s">
        <v>169</v>
      </c>
      <c r="G57">
        <v>2024</v>
      </c>
      <c r="H57">
        <v>1</v>
      </c>
      <c r="O57">
        <v>1</v>
      </c>
      <c r="Q57">
        <v>1</v>
      </c>
      <c r="S57" s="4"/>
      <c r="T57">
        <v>1</v>
      </c>
      <c r="Y57">
        <v>1</v>
      </c>
      <c r="Z57">
        <v>1</v>
      </c>
      <c r="AA57">
        <v>1</v>
      </c>
      <c r="AD57">
        <v>1</v>
      </c>
      <c r="AE57">
        <f t="shared" si="15"/>
        <v>0</v>
      </c>
      <c r="AF57">
        <f t="shared" si="5"/>
        <v>1</v>
      </c>
      <c r="AG57" t="str">
        <f t="shared" si="11"/>
        <v>poloefficient</v>
      </c>
      <c r="AH57" t="str">
        <f t="shared" si="12"/>
        <v/>
      </c>
      <c r="AI57" t="str">
        <f t="shared" si="13"/>
        <v>poloefficient</v>
      </c>
      <c r="AJ57" t="str">
        <f t="shared" si="14"/>
        <v/>
      </c>
      <c r="AK57">
        <f t="shared" si="17"/>
        <v>1</v>
      </c>
    </row>
    <row r="58" spans="1:37">
      <c r="A58">
        <f t="shared" si="6"/>
        <v>57</v>
      </c>
      <c r="B58" t="str" cm="1">
        <f t="array" ref="B58">_xlfn.IFS(ISBLANK(D58),"",ISBLANK(C58),"no venue",ISBLANK(E58),"no bib",ISNUMBER(SEARCH("xiv", C58)),"arxiv",SUM(I58:AA58)&lt;3,"no categories",TRUE,"")</f>
        <v/>
      </c>
      <c r="C58" s="2" t="s">
        <v>310</v>
      </c>
      <c r="D58" t="s">
        <v>55</v>
      </c>
      <c r="E58" s="12" t="s">
        <v>311</v>
      </c>
      <c r="F58" t="s">
        <v>56</v>
      </c>
      <c r="G58">
        <v>2024</v>
      </c>
      <c r="H58">
        <v>1</v>
      </c>
      <c r="Q58">
        <v>1</v>
      </c>
      <c r="S58" s="4">
        <v>1</v>
      </c>
      <c r="AA58">
        <v>1</v>
      </c>
      <c r="AD58">
        <v>1</v>
      </c>
      <c r="AE58">
        <f t="shared" si="15"/>
        <v>1</v>
      </c>
      <c r="AF58">
        <f t="shared" si="5"/>
        <v>0</v>
      </c>
      <c r="AG58" t="str">
        <f t="shared" si="11"/>
        <v/>
      </c>
      <c r="AH58" t="str">
        <f t="shared" si="12"/>
        <v/>
      </c>
      <c r="AI58" t="str">
        <f t="shared" si="13"/>
        <v/>
      </c>
      <c r="AJ58" t="str">
        <f t="shared" si="14"/>
        <v>schwartz2024numerologic</v>
      </c>
      <c r="AK58">
        <f t="shared" si="17"/>
        <v>0</v>
      </c>
    </row>
    <row r="59" spans="1:37">
      <c r="A59">
        <f t="shared" si="6"/>
        <v>58</v>
      </c>
      <c r="B59" t="str" cm="1">
        <f t="array" ref="B59">_xlfn.IFS(ISBLANK(D59),"",ISBLANK(C59),"no venue",ISBLANK(E59),"no bib",ISNUMBER(SEARCH("xiv", C59)),"arxiv",SUM(I59:AA59)&lt;3,"no categories",TRUE,"")</f>
        <v/>
      </c>
      <c r="C59" s="2" t="s">
        <v>1</v>
      </c>
      <c r="D59" t="s">
        <v>168</v>
      </c>
      <c r="E59" t="s">
        <v>192</v>
      </c>
      <c r="F59" t="s">
        <v>167</v>
      </c>
      <c r="G59">
        <v>2024</v>
      </c>
      <c r="H59">
        <v>1</v>
      </c>
      <c r="O59">
        <v>1</v>
      </c>
      <c r="P59">
        <v>1</v>
      </c>
      <c r="Q59">
        <v>1</v>
      </c>
      <c r="S59" s="4"/>
      <c r="Z59">
        <v>1</v>
      </c>
      <c r="AA59">
        <v>1</v>
      </c>
      <c r="AD59">
        <v>1</v>
      </c>
      <c r="AE59">
        <f t="shared" si="15"/>
        <v>0</v>
      </c>
      <c r="AF59">
        <f t="shared" si="5"/>
        <v>1</v>
      </c>
      <c r="AG59" t="str">
        <f t="shared" si="11"/>
        <v>DBLP:journals/corr/abs-2404-15198</v>
      </c>
      <c r="AH59" t="str">
        <f t="shared" si="12"/>
        <v/>
      </c>
      <c r="AI59" t="str">
        <f t="shared" si="13"/>
        <v/>
      </c>
      <c r="AJ59" t="str">
        <f t="shared" si="14"/>
        <v/>
      </c>
      <c r="AK59">
        <f t="shared" si="17"/>
        <v>0</v>
      </c>
    </row>
    <row r="60" spans="1:37">
      <c r="A60">
        <f t="shared" si="6"/>
        <v>59</v>
      </c>
      <c r="B60" t="str" cm="1">
        <f t="array" ref="B60">_xlfn.IFS(ISBLANK(D60),"",ISBLANK(C60),"no venue",ISBLANK(E60),"no bib",ISNUMBER(SEARCH("xiv", C60)),"arxiv",SUM(I60:AA60)&lt;3,"no categories",TRUE,"")</f>
        <v/>
      </c>
      <c r="C60" s="2" t="s">
        <v>296</v>
      </c>
      <c r="D60" t="s">
        <v>166</v>
      </c>
      <c r="E60" t="s">
        <v>245</v>
      </c>
      <c r="F60" t="s">
        <v>165</v>
      </c>
      <c r="G60">
        <v>2024</v>
      </c>
      <c r="H60">
        <v>1</v>
      </c>
      <c r="P60">
        <v>1</v>
      </c>
      <c r="R60">
        <v>1</v>
      </c>
      <c r="S60" s="4"/>
      <c r="AA60">
        <v>1</v>
      </c>
      <c r="AD60">
        <v>1</v>
      </c>
      <c r="AE60">
        <f t="shared" si="15"/>
        <v>0</v>
      </c>
      <c r="AF60">
        <f t="shared" si="5"/>
        <v>1</v>
      </c>
      <c r="AG60" t="str">
        <f t="shared" si="11"/>
        <v>ifergan2024beneath</v>
      </c>
      <c r="AH60" t="str">
        <f t="shared" si="12"/>
        <v/>
      </c>
      <c r="AI60" t="str">
        <f t="shared" si="13"/>
        <v/>
      </c>
      <c r="AJ60" t="str">
        <f t="shared" si="14"/>
        <v/>
      </c>
      <c r="AK60">
        <f t="shared" si="17"/>
        <v>0</v>
      </c>
    </row>
    <row r="61" spans="1:37">
      <c r="A61">
        <f t="shared" si="6"/>
        <v>60</v>
      </c>
      <c r="B61" t="str" cm="1">
        <f t="array" ref="B61">_xlfn.IFS(ISBLANK(D61),"",ISBLANK(C61),"no venue",ISBLANK(E61),"no bib",ISNUMBER(SEARCH("xiv", C61)),"arxiv",SUM(I61:AA61)&lt;3,"no categories",TRUE,"")</f>
        <v/>
      </c>
      <c r="C61" s="2" t="s">
        <v>1</v>
      </c>
      <c r="D61" t="s">
        <v>49</v>
      </c>
      <c r="E61" t="s">
        <v>246</v>
      </c>
      <c r="F61" t="s">
        <v>2</v>
      </c>
      <c r="G61">
        <v>2024</v>
      </c>
      <c r="H61">
        <v>1</v>
      </c>
      <c r="S61" s="4"/>
      <c r="T61">
        <v>1</v>
      </c>
      <c r="X61">
        <v>1</v>
      </c>
      <c r="AA61">
        <v>1</v>
      </c>
      <c r="AD61">
        <v>1</v>
      </c>
      <c r="AE61">
        <f t="shared" si="15"/>
        <v>0</v>
      </c>
      <c r="AF61">
        <f t="shared" si="5"/>
        <v>1</v>
      </c>
      <c r="AG61" t="str">
        <f t="shared" si="11"/>
        <v>fandina2024can</v>
      </c>
      <c r="AH61" t="str">
        <f t="shared" si="12"/>
        <v/>
      </c>
      <c r="AI61" t="str">
        <f t="shared" si="13"/>
        <v/>
      </c>
      <c r="AJ61" t="str">
        <f t="shared" si="14"/>
        <v/>
      </c>
      <c r="AK61">
        <f t="shared" si="17"/>
        <v>0</v>
      </c>
    </row>
    <row r="62" spans="1:37">
      <c r="A62">
        <f t="shared" si="6"/>
        <v>61</v>
      </c>
      <c r="B62" t="str" cm="1">
        <f t="array" ref="B62">_xlfn.IFS(ISBLANK(D62),"",ISBLANK(C62),"no venue",ISBLANK(E62),"no bib",ISNUMBER(SEARCH("xiv", C62)),"arxiv",SUM(I62:AA62)&lt;3,"no categories",TRUE,"")</f>
        <v/>
      </c>
      <c r="C62" s="2" t="s">
        <v>312</v>
      </c>
      <c r="D62" t="s">
        <v>96</v>
      </c>
      <c r="E62" s="12" t="s">
        <v>318</v>
      </c>
      <c r="F62" t="s">
        <v>95</v>
      </c>
      <c r="G62">
        <v>2024</v>
      </c>
      <c r="H62">
        <v>1</v>
      </c>
      <c r="M62">
        <v>1</v>
      </c>
      <c r="O62">
        <v>1</v>
      </c>
      <c r="R62">
        <v>1</v>
      </c>
      <c r="S62" s="4"/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D62">
        <v>1</v>
      </c>
      <c r="AE62">
        <f t="shared" si="15"/>
        <v>0</v>
      </c>
      <c r="AF62">
        <f t="shared" si="5"/>
        <v>0</v>
      </c>
      <c r="AG62" t="str">
        <f t="shared" si="11"/>
        <v/>
      </c>
      <c r="AH62" t="str">
        <f t="shared" si="12"/>
        <v>don-yehiya-etal-2025-sharelm</v>
      </c>
      <c r="AI62" t="str">
        <f t="shared" si="13"/>
        <v>don-yehiya-etal-2025-sharelm</v>
      </c>
      <c r="AJ62" t="str">
        <f t="shared" si="14"/>
        <v/>
      </c>
    </row>
    <row r="63" spans="1:37">
      <c r="A63">
        <f t="shared" si="6"/>
        <v>62</v>
      </c>
      <c r="B63" t="str" cm="1">
        <f t="array" ref="B63">_xlfn.IFS(ISBLANK(D63),"",ISBLANK(C63),"no venue",ISBLANK(E63),"no bib",ISNUMBER(SEARCH("xiv", C63)),"arxiv",SUM(I63:AA63)&lt;3,"no categories",TRUE,"")</f>
        <v/>
      </c>
      <c r="C63" s="2" t="s">
        <v>1</v>
      </c>
      <c r="D63" t="s">
        <v>54</v>
      </c>
      <c r="E63" t="s">
        <v>191</v>
      </c>
      <c r="F63" t="s">
        <v>150</v>
      </c>
      <c r="G63">
        <v>2024</v>
      </c>
      <c r="H63">
        <v>1</v>
      </c>
      <c r="O63">
        <v>1</v>
      </c>
      <c r="Q63">
        <v>1</v>
      </c>
      <c r="R63">
        <v>1</v>
      </c>
      <c r="S63" s="4"/>
      <c r="V63">
        <v>1</v>
      </c>
      <c r="W63">
        <v>1</v>
      </c>
      <c r="Z63">
        <v>1</v>
      </c>
      <c r="AA63">
        <v>1</v>
      </c>
      <c r="AD63">
        <v>1</v>
      </c>
      <c r="AE63">
        <f t="shared" si="15"/>
        <v>0</v>
      </c>
      <c r="AF63">
        <f t="shared" si="5"/>
        <v>0</v>
      </c>
      <c r="AG63" t="str">
        <f t="shared" si="11"/>
        <v/>
      </c>
      <c r="AH63" t="str">
        <f t="shared" si="12"/>
        <v>DBLP:journals/corr/abs-2407-10944</v>
      </c>
      <c r="AI63" t="str">
        <f t="shared" si="13"/>
        <v/>
      </c>
      <c r="AJ63" t="str">
        <f t="shared" si="14"/>
        <v/>
      </c>
      <c r="AK63">
        <f t="shared" ref="AK63:AK66" si="18">IF(Z63+T63&gt;1,1,0)</f>
        <v>0</v>
      </c>
    </row>
    <row r="64" spans="1:37">
      <c r="A64">
        <f t="shared" si="6"/>
        <v>63</v>
      </c>
      <c r="C64" s="2" t="s">
        <v>342</v>
      </c>
      <c r="D64" t="s">
        <v>53</v>
      </c>
      <c r="E64" t="s">
        <v>190</v>
      </c>
      <c r="F64" t="s">
        <v>149</v>
      </c>
      <c r="G64">
        <v>2024</v>
      </c>
      <c r="H64">
        <v>1</v>
      </c>
      <c r="O64">
        <v>1</v>
      </c>
      <c r="S64" s="4"/>
      <c r="T64">
        <v>1</v>
      </c>
      <c r="W64">
        <v>1</v>
      </c>
      <c r="X64">
        <v>1</v>
      </c>
      <c r="AA64">
        <v>1</v>
      </c>
      <c r="AD64">
        <v>1</v>
      </c>
      <c r="AE64">
        <f t="shared" si="15"/>
        <v>0</v>
      </c>
      <c r="AF64">
        <f t="shared" si="5"/>
        <v>1</v>
      </c>
      <c r="AG64" t="str">
        <f t="shared" si="11"/>
        <v>DBLP:journals/corr/abs-2407-13696</v>
      </c>
      <c r="AH64" t="str">
        <f t="shared" si="12"/>
        <v>DBLP:journals/corr/abs-2407-13696</v>
      </c>
      <c r="AI64" t="str">
        <f t="shared" si="13"/>
        <v/>
      </c>
      <c r="AJ64" t="str">
        <f t="shared" si="14"/>
        <v/>
      </c>
      <c r="AK64">
        <f t="shared" si="18"/>
        <v>0</v>
      </c>
    </row>
    <row r="65" spans="1:37">
      <c r="A65">
        <f t="shared" si="6"/>
        <v>64</v>
      </c>
      <c r="B65" t="str" cm="1">
        <f t="array" ref="B65">_xlfn.IFS(ISBLANK(D65),"",ISBLANK(C65),"no venue",ISBLANK(E65),"no bib",ISNUMBER(SEARCH("xiv", C65)),"arxiv",SUM(I65:AA65)&lt;3,"no categories",TRUE,"")</f>
        <v/>
      </c>
      <c r="C65" s="2" t="s">
        <v>183</v>
      </c>
      <c r="D65" t="s">
        <v>52</v>
      </c>
      <c r="E65" s="9" t="s">
        <v>308</v>
      </c>
      <c r="F65" t="s">
        <v>148</v>
      </c>
      <c r="G65">
        <v>2024</v>
      </c>
      <c r="H65">
        <v>1</v>
      </c>
      <c r="O65">
        <v>1</v>
      </c>
      <c r="P65">
        <v>1</v>
      </c>
      <c r="Q65">
        <v>1</v>
      </c>
      <c r="R65">
        <v>1</v>
      </c>
      <c r="S65" s="4"/>
      <c r="Z65">
        <v>1</v>
      </c>
      <c r="AA65">
        <v>1</v>
      </c>
      <c r="AD65">
        <v>1</v>
      </c>
      <c r="AE65">
        <f t="shared" si="15"/>
        <v>0</v>
      </c>
      <c r="AF65">
        <f t="shared" si="5"/>
        <v>1</v>
      </c>
      <c r="AG65" t="str">
        <f t="shared" si="11"/>
        <v>gabrielsson2025compress</v>
      </c>
      <c r="AH65" t="str">
        <f t="shared" si="12"/>
        <v/>
      </c>
      <c r="AI65" t="str">
        <f t="shared" si="13"/>
        <v/>
      </c>
      <c r="AJ65" t="str">
        <f t="shared" si="14"/>
        <v/>
      </c>
      <c r="AK65">
        <f t="shared" si="18"/>
        <v>0</v>
      </c>
    </row>
    <row r="66" spans="1:37">
      <c r="A66">
        <f t="shared" si="6"/>
        <v>65</v>
      </c>
      <c r="B66" t="str" cm="1">
        <f t="array" ref="B66">_xlfn.IFS(ISBLANK(D66),"",ISBLANK(C66),"no venue",ISBLANK(E66),"no bib",ISNUMBER(SEARCH("xiv", C66)),"arxiv",SUM(I66:AA66)&lt;3,"no categories",TRUE,"")</f>
        <v/>
      </c>
      <c r="C66" s="2" t="s">
        <v>337</v>
      </c>
      <c r="D66" t="s">
        <v>163</v>
      </c>
      <c r="E66" s="12" t="s">
        <v>366</v>
      </c>
      <c r="F66" t="s">
        <v>162</v>
      </c>
      <c r="G66">
        <v>2024</v>
      </c>
      <c r="H66">
        <v>1</v>
      </c>
      <c r="I66">
        <v>1</v>
      </c>
      <c r="N66">
        <v>1</v>
      </c>
      <c r="P66">
        <v>1</v>
      </c>
      <c r="S66" s="4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D66">
        <v>1</v>
      </c>
      <c r="AE66">
        <f t="shared" si="15"/>
        <v>0</v>
      </c>
      <c r="AF66">
        <f t="shared" si="5"/>
        <v>1</v>
      </c>
      <c r="AG66" t="str">
        <f t="shared" ref="AG66:AG71" si="19">IF(AF66,E66,"")</f>
        <v>wilcox2024bigger</v>
      </c>
      <c r="AH66" t="str">
        <f t="shared" ref="AH66:AH71" si="20">IF(W66,E66,"")</f>
        <v>wilcox2024bigger</v>
      </c>
      <c r="AI66" t="str">
        <f t="shared" ref="AI66:AI71" si="21">IF(Y66,E66,"")</f>
        <v>wilcox2024bigger</v>
      </c>
      <c r="AJ66" t="str">
        <f t="shared" si="14"/>
        <v/>
      </c>
      <c r="AK66">
        <f t="shared" si="18"/>
        <v>0</v>
      </c>
    </row>
    <row r="67" spans="1:37">
      <c r="A67">
        <f t="shared" si="6"/>
        <v>66</v>
      </c>
      <c r="B67" t="str" cm="1">
        <f t="array" ref="B67">_xlfn.IFS(ISBLANK(D67),"",ISBLANK(C67),"no venue",ISBLANK(E67),"no bib",ISNUMBER(SEARCH("xiv", C67)),"arxiv",SUM(I67:AA67)&lt;3,"no categories",TRUE,"")</f>
        <v/>
      </c>
      <c r="C67" s="2" t="s">
        <v>0</v>
      </c>
      <c r="D67" t="s">
        <v>50</v>
      </c>
      <c r="E67" t="s">
        <v>189</v>
      </c>
      <c r="F67" t="s">
        <v>51</v>
      </c>
      <c r="G67">
        <v>2024</v>
      </c>
      <c r="H67">
        <v>1</v>
      </c>
      <c r="K67">
        <v>1</v>
      </c>
      <c r="P67">
        <v>1</v>
      </c>
      <c r="S67" s="4"/>
      <c r="U67">
        <v>1</v>
      </c>
      <c r="W67">
        <v>1</v>
      </c>
      <c r="X67">
        <v>1</v>
      </c>
      <c r="Y67">
        <v>1</v>
      </c>
      <c r="Z67">
        <v>1</v>
      </c>
      <c r="AA67">
        <v>1</v>
      </c>
      <c r="AD67">
        <v>1</v>
      </c>
      <c r="AE67">
        <f t="shared" si="15"/>
        <v>0</v>
      </c>
      <c r="AF67">
        <f t="shared" ref="AF67:AF71" si="22">IF(SUM(T67,P67)&gt;0,1,0)</f>
        <v>1</v>
      </c>
      <c r="AG67" t="str">
        <f t="shared" si="19"/>
        <v>DBLP:journals/corr/abs-2311-07682</v>
      </c>
      <c r="AH67" t="str">
        <f t="shared" si="20"/>
        <v>DBLP:journals/corr/abs-2311-07682</v>
      </c>
      <c r="AI67" t="str">
        <f t="shared" si="21"/>
        <v>DBLP:journals/corr/abs-2311-07682</v>
      </c>
      <c r="AJ67" t="str">
        <f t="shared" si="14"/>
        <v/>
      </c>
    </row>
    <row r="68" spans="1:37">
      <c r="A68">
        <f t="shared" ref="A68:A127" si="23">1+A67</f>
        <v>67</v>
      </c>
      <c r="B68" t="str" cm="1">
        <f t="array" ref="B68">_xlfn.IFS(ISBLANK(D68),"",ISBLANK(C68),"no venue",ISBLANK(E68),"no bib",ISNUMBER(SEARCH("xiv", C68)),"arxiv",SUM(I68:AA68)&lt;3,"no categories",TRUE,"")</f>
        <v/>
      </c>
      <c r="C68" s="1" t="s">
        <v>341</v>
      </c>
      <c r="D68" s="1" t="s">
        <v>186</v>
      </c>
      <c r="E68" t="s">
        <v>188</v>
      </c>
      <c r="F68" t="s">
        <v>187</v>
      </c>
      <c r="G68">
        <v>2024</v>
      </c>
      <c r="H68">
        <v>1</v>
      </c>
      <c r="M68">
        <v>1</v>
      </c>
      <c r="S68" s="4"/>
      <c r="U68">
        <v>1</v>
      </c>
      <c r="W68">
        <v>1</v>
      </c>
      <c r="X68">
        <v>1</v>
      </c>
      <c r="Y68">
        <v>1</v>
      </c>
      <c r="AA68">
        <v>1</v>
      </c>
      <c r="AD68">
        <v>1</v>
      </c>
      <c r="AE68">
        <f t="shared" si="15"/>
        <v>0</v>
      </c>
      <c r="AF68">
        <f t="shared" si="22"/>
        <v>0</v>
      </c>
      <c r="AG68" t="str">
        <f t="shared" si="19"/>
        <v/>
      </c>
      <c r="AH68" t="str">
        <f t="shared" si="20"/>
        <v>DonYehiya2024TheFO</v>
      </c>
      <c r="AI68" t="str">
        <f t="shared" si="21"/>
        <v>DonYehiya2024TheFO</v>
      </c>
      <c r="AJ68" t="str">
        <f t="shared" si="14"/>
        <v/>
      </c>
    </row>
    <row r="69" spans="1:37" ht="17">
      <c r="A69">
        <f t="shared" si="23"/>
        <v>68</v>
      </c>
      <c r="B69" t="str" cm="1">
        <f t="array" ref="B69">_xlfn.IFS(ISBLANK(D69),"",ISBLANK(C69),"no venue",ISBLANK(E69),"no bib",ISNUMBER(SEARCH("xiv", C69)),"arxiv",SUM(I69:AA69)&lt;3,"no categories",TRUE,"")</f>
        <v/>
      </c>
      <c r="C69" t="s">
        <v>251</v>
      </c>
      <c r="D69" s="2" t="s">
        <v>252</v>
      </c>
      <c r="E69" s="1" t="s">
        <v>254</v>
      </c>
      <c r="F69" s="10" t="s">
        <v>253</v>
      </c>
      <c r="G69">
        <v>2024</v>
      </c>
      <c r="H69">
        <v>1</v>
      </c>
      <c r="P69">
        <v>1</v>
      </c>
      <c r="S69" s="4">
        <v>1</v>
      </c>
      <c r="AA69">
        <v>1</v>
      </c>
      <c r="AD69">
        <v>1</v>
      </c>
      <c r="AE69">
        <f t="shared" si="15"/>
        <v>0</v>
      </c>
      <c r="AF69">
        <f t="shared" si="22"/>
        <v>1</v>
      </c>
      <c r="AG69" t="str">
        <f t="shared" si="19"/>
        <v>zhang2024unforgettable</v>
      </c>
      <c r="AH69" t="str">
        <f t="shared" si="20"/>
        <v/>
      </c>
      <c r="AI69" t="str">
        <f t="shared" si="21"/>
        <v/>
      </c>
      <c r="AJ69" t="str">
        <f t="shared" si="14"/>
        <v/>
      </c>
      <c r="AK69">
        <f>IF(Z69+T69&gt;1,1,0)</f>
        <v>0</v>
      </c>
    </row>
    <row r="70" spans="1:37" ht="17">
      <c r="A70">
        <f t="shared" si="23"/>
        <v>69</v>
      </c>
      <c r="B70" t="str" cm="1">
        <f t="array" ref="B70">_xlfn.IFS(ISBLANK(D70),"",ISBLANK(C70),"no venue",ISBLANK(E70),"no bib",ISNUMBER(SEARCH("xiv", C70)),"arxiv",SUM(I70:AA70)&lt;3,"no categories",TRUE,"")</f>
        <v/>
      </c>
      <c r="C70" t="s">
        <v>313</v>
      </c>
      <c r="D70" s="2" t="s">
        <v>255</v>
      </c>
      <c r="E70" s="9" t="s">
        <v>314</v>
      </c>
      <c r="F70" s="10" t="s">
        <v>256</v>
      </c>
      <c r="G70">
        <v>2024</v>
      </c>
      <c r="H70">
        <v>1</v>
      </c>
      <c r="K70">
        <v>1</v>
      </c>
      <c r="P70">
        <v>1</v>
      </c>
      <c r="Q70">
        <v>1</v>
      </c>
      <c r="S70" s="4"/>
      <c r="Z70">
        <v>1</v>
      </c>
      <c r="AA70">
        <v>1</v>
      </c>
      <c r="AD70">
        <v>1</v>
      </c>
      <c r="AE70">
        <f t="shared" si="15"/>
        <v>0</v>
      </c>
      <c r="AF70">
        <f t="shared" si="22"/>
        <v>1</v>
      </c>
      <c r="AG70" t="str">
        <f t="shared" si="19"/>
        <v>yadav2025compeft</v>
      </c>
      <c r="AH70" t="str">
        <f t="shared" si="20"/>
        <v/>
      </c>
      <c r="AI70" t="str">
        <f t="shared" si="21"/>
        <v/>
      </c>
      <c r="AJ70" t="str">
        <f t="shared" si="14"/>
        <v/>
      </c>
    </row>
    <row r="71" spans="1:37" ht="17">
      <c r="A71">
        <f t="shared" si="23"/>
        <v>70</v>
      </c>
      <c r="B71" t="str" cm="1">
        <f t="array" ref="B71">_xlfn.IFS(ISBLANK(D71),"",ISBLANK(C71),"no venue",ISBLANK(E71),"no bib",ISNUMBER(SEARCH("xiv", C71)),"arxiv",SUM(I71:AA71)&lt;3,"no categories",TRUE,"")</f>
        <v/>
      </c>
      <c r="C71" s="1" t="s">
        <v>184</v>
      </c>
      <c r="D71" t="s">
        <v>304</v>
      </c>
      <c r="E71" s="12" t="s">
        <v>303</v>
      </c>
      <c r="F71" s="10" t="s">
        <v>302</v>
      </c>
      <c r="G71">
        <v>2024</v>
      </c>
      <c r="H71">
        <v>1</v>
      </c>
      <c r="I71">
        <v>1</v>
      </c>
      <c r="O71">
        <v>1</v>
      </c>
      <c r="P71">
        <v>1</v>
      </c>
      <c r="R71">
        <v>1</v>
      </c>
      <c r="S71" s="4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D71">
        <v>1</v>
      </c>
      <c r="AE71">
        <f t="shared" si="15"/>
        <v>0</v>
      </c>
      <c r="AF71">
        <f t="shared" si="22"/>
        <v>1</v>
      </c>
      <c r="AG71" t="str">
        <f t="shared" si="19"/>
        <v>hu2024findingssecondbabylmchallenge</v>
      </c>
      <c r="AH71" t="str">
        <f t="shared" si="20"/>
        <v>hu2024findingssecondbabylmchallenge</v>
      </c>
      <c r="AI71" t="str">
        <f t="shared" si="21"/>
        <v>hu2024findingssecondbabylmchallenge</v>
      </c>
      <c r="AK71">
        <f>IF(Z71+T71&gt;1,1,0)</f>
        <v>1</v>
      </c>
    </row>
    <row r="72" spans="1:37" ht="17">
      <c r="A72">
        <f t="shared" si="23"/>
        <v>71</v>
      </c>
      <c r="B72" t="str" cm="1">
        <f t="array" ref="B72">_xlfn.IFS(ISBLANK(D72),"",ISBLANK(C72),"no venue",ISBLANK(E72),"no bib",ISNUMBER(SEARCH("xiv", C72)),"arxiv",SUM(I72:AA72)&lt;3,"no categories",TRUE,"")</f>
        <v/>
      </c>
      <c r="C72" t="s">
        <v>292</v>
      </c>
      <c r="D72" s="13" t="s">
        <v>301</v>
      </c>
      <c r="E72" t="s">
        <v>270</v>
      </c>
      <c r="F72" s="10" t="s">
        <v>271</v>
      </c>
      <c r="G72">
        <v>2024</v>
      </c>
      <c r="H72">
        <v>1</v>
      </c>
      <c r="K72">
        <v>1</v>
      </c>
      <c r="P72">
        <v>1</v>
      </c>
      <c r="Q72">
        <v>1</v>
      </c>
      <c r="S72" s="4">
        <v>1</v>
      </c>
      <c r="W72">
        <v>1</v>
      </c>
      <c r="X72">
        <v>1</v>
      </c>
      <c r="Y72">
        <v>1</v>
      </c>
      <c r="Z72">
        <v>1</v>
      </c>
      <c r="AA72">
        <v>1</v>
      </c>
      <c r="AD72">
        <v>1</v>
      </c>
      <c r="AE72">
        <f t="shared" si="15"/>
        <v>0</v>
      </c>
      <c r="AF72">
        <f t="shared" ref="AF72:AF98" si="24">IF(SUM(T72,P72)&gt;0,1,0)</f>
        <v>1</v>
      </c>
      <c r="AG72" t="str">
        <f t="shared" ref="AG72:AG98" si="25">IF(AF72,E72,"")</f>
        <v>knots</v>
      </c>
      <c r="AH72" t="str">
        <f t="shared" ref="AH72:AH98" si="26">IF(W72,E72,"")</f>
        <v>knots</v>
      </c>
      <c r="AI72" t="str">
        <f t="shared" ref="AI72:AI98" si="27">IF(Y72,E72,"")</f>
        <v>knots</v>
      </c>
      <c r="AK72">
        <f t="shared" ref="AK72:AK98" si="28">IF(Z72+T72&gt;1,1,0)</f>
        <v>0</v>
      </c>
    </row>
    <row r="73" spans="1:37">
      <c r="A73">
        <f t="shared" si="23"/>
        <v>72</v>
      </c>
      <c r="B73" t="str" cm="1">
        <f t="array" ref="B73">_xlfn.IFS(ISBLANK(D73),"",ISBLANK(C73),"no venue",ISBLANK(E73),"no bib",ISNUMBER(SEARCH("xiv", C73)),"arxiv",SUM(I73:AA73)&lt;3,"no categories",TRUE,"")</f>
        <v/>
      </c>
      <c r="C73" t="s">
        <v>185</v>
      </c>
      <c r="D73" s="5" t="s">
        <v>275</v>
      </c>
      <c r="E73" t="s">
        <v>282</v>
      </c>
      <c r="F73" s="5" t="s">
        <v>276</v>
      </c>
      <c r="G73">
        <v>2024</v>
      </c>
      <c r="H73">
        <v>1</v>
      </c>
      <c r="I73">
        <v>1</v>
      </c>
      <c r="L73">
        <v>1</v>
      </c>
      <c r="N73">
        <v>1</v>
      </c>
      <c r="P73">
        <v>1</v>
      </c>
      <c r="Q73">
        <v>1</v>
      </c>
      <c r="S73" s="4">
        <v>1</v>
      </c>
      <c r="T73">
        <v>1</v>
      </c>
      <c r="X73">
        <v>1</v>
      </c>
      <c r="Y73">
        <v>1</v>
      </c>
      <c r="Z73">
        <v>1</v>
      </c>
      <c r="AA73">
        <v>1</v>
      </c>
      <c r="AD73">
        <v>1</v>
      </c>
      <c r="AE73">
        <f t="shared" si="15"/>
        <v>0</v>
      </c>
      <c r="AF73">
        <f t="shared" si="24"/>
        <v>1</v>
      </c>
      <c r="AG73" t="str">
        <f t="shared" si="25"/>
        <v>polo2024sloth</v>
      </c>
      <c r="AH73" t="str">
        <f t="shared" si="26"/>
        <v/>
      </c>
      <c r="AI73" t="str">
        <f t="shared" si="27"/>
        <v>polo2024sloth</v>
      </c>
      <c r="AK73">
        <f t="shared" si="28"/>
        <v>1</v>
      </c>
    </row>
    <row r="74" spans="1:37">
      <c r="A74">
        <f t="shared" si="23"/>
        <v>73</v>
      </c>
      <c r="B74" t="str" cm="1">
        <f t="array" ref="B74">_xlfn.IFS(ISBLANK(D74),"",ISBLANK(C74),"no venue",ISBLANK(E74),"no bib",ISNUMBER(SEARCH("xiv", C74)),"arxiv",SUM(I74:AA74)&lt;3,"no categories",TRUE,"")</f>
        <v/>
      </c>
      <c r="C74" t="s">
        <v>316</v>
      </c>
      <c r="D74" s="5" t="s">
        <v>277</v>
      </c>
      <c r="E74" t="s">
        <v>279</v>
      </c>
      <c r="F74" s="5" t="s">
        <v>278</v>
      </c>
      <c r="G74">
        <v>2024</v>
      </c>
      <c r="H74">
        <v>1</v>
      </c>
      <c r="I74">
        <v>1</v>
      </c>
      <c r="L74">
        <v>1</v>
      </c>
      <c r="N74">
        <v>1</v>
      </c>
      <c r="O74">
        <v>1</v>
      </c>
      <c r="P74">
        <v>1</v>
      </c>
      <c r="Q74">
        <v>1</v>
      </c>
      <c r="R74">
        <v>1</v>
      </c>
      <c r="S74" s="4">
        <v>1</v>
      </c>
      <c r="T74">
        <v>1</v>
      </c>
      <c r="W74">
        <v>1</v>
      </c>
      <c r="X74">
        <v>1</v>
      </c>
      <c r="Y74">
        <v>1</v>
      </c>
      <c r="Z74">
        <v>1</v>
      </c>
      <c r="AA74">
        <v>1</v>
      </c>
      <c r="AD74">
        <v>1</v>
      </c>
      <c r="AE74">
        <f t="shared" si="15"/>
        <v>0</v>
      </c>
      <c r="AF74">
        <f t="shared" si="24"/>
        <v>1</v>
      </c>
      <c r="AG74" t="str">
        <f t="shared" si="25"/>
        <v>choshen2024hitchhiker</v>
      </c>
      <c r="AH74" t="str">
        <f t="shared" si="26"/>
        <v>choshen2024hitchhiker</v>
      </c>
      <c r="AI74" t="str">
        <f t="shared" si="27"/>
        <v>choshen2024hitchhiker</v>
      </c>
      <c r="AK74">
        <f t="shared" si="28"/>
        <v>1</v>
      </c>
    </row>
    <row r="75" spans="1:37">
      <c r="A75">
        <f t="shared" si="23"/>
        <v>74</v>
      </c>
      <c r="C75" t="s">
        <v>291</v>
      </c>
      <c r="D75" s="2" t="s">
        <v>297</v>
      </c>
      <c r="E75" s="12" t="s">
        <v>298</v>
      </c>
      <c r="F75" s="5" t="s">
        <v>299</v>
      </c>
      <c r="G75">
        <v>2024</v>
      </c>
      <c r="H75">
        <v>1</v>
      </c>
      <c r="K75">
        <v>1</v>
      </c>
      <c r="O75">
        <v>1</v>
      </c>
      <c r="Q75">
        <v>1</v>
      </c>
      <c r="R75">
        <v>1</v>
      </c>
      <c r="S75" s="4"/>
      <c r="T75">
        <v>1</v>
      </c>
      <c r="W75">
        <v>1</v>
      </c>
      <c r="X75">
        <v>1</v>
      </c>
      <c r="AA75">
        <v>1</v>
      </c>
      <c r="AD75">
        <v>2</v>
      </c>
      <c r="AE75">
        <f t="shared" ref="AE75" si="29">IF(SUM(Y75,T75,P75,W75),0,1)</f>
        <v>0</v>
      </c>
      <c r="AF75">
        <f t="shared" si="24"/>
        <v>1</v>
      </c>
      <c r="AG75" t="str">
        <f t="shared" si="25"/>
        <v>perlitz2024llm</v>
      </c>
      <c r="AH75" t="str">
        <f t="shared" si="26"/>
        <v>perlitz2024llm</v>
      </c>
      <c r="AI75" t="str">
        <f t="shared" si="27"/>
        <v/>
      </c>
      <c r="AK75">
        <f t="shared" si="28"/>
        <v>0</v>
      </c>
    </row>
    <row r="76" spans="1:37">
      <c r="A76">
        <f t="shared" si="23"/>
        <v>75</v>
      </c>
      <c r="B76" t="str" cm="1">
        <f t="array" ref="B76">_xlfn.IFS(ISBLANK(D76),"",ISBLANK(C76),"no venue",ISBLANK(E76),"no bib",ISNUMBER(SEARCH("xiv", C76)),"arxiv",SUM(I76:AA76)&lt;3,"no categories",TRUE,"")</f>
        <v/>
      </c>
      <c r="C76" t="s">
        <v>292</v>
      </c>
      <c r="D76" s="5" t="s">
        <v>280</v>
      </c>
      <c r="E76" s="9" t="s">
        <v>315</v>
      </c>
      <c r="F76" s="5" t="s">
        <v>281</v>
      </c>
      <c r="G76">
        <v>2024</v>
      </c>
      <c r="H76">
        <v>1</v>
      </c>
      <c r="O76">
        <v>1</v>
      </c>
      <c r="S76" s="4"/>
      <c r="T76">
        <v>1</v>
      </c>
      <c r="AA76">
        <v>1</v>
      </c>
      <c r="AD76">
        <v>1</v>
      </c>
      <c r="AE76">
        <v>1</v>
      </c>
      <c r="AF76">
        <f t="shared" si="24"/>
        <v>1</v>
      </c>
      <c r="AG76" t="str">
        <f t="shared" si="25"/>
        <v>shabtay2025livexiv</v>
      </c>
      <c r="AH76" t="str">
        <f t="shared" si="26"/>
        <v/>
      </c>
      <c r="AI76" t="str">
        <f t="shared" si="27"/>
        <v/>
      </c>
      <c r="AK76">
        <f t="shared" si="28"/>
        <v>0</v>
      </c>
    </row>
    <row r="77" spans="1:37">
      <c r="A77">
        <f t="shared" si="23"/>
        <v>76</v>
      </c>
      <c r="B77" t="str" cm="1">
        <f t="array" ref="B77">_xlfn.IFS(ISBLANK(D77),"",ISBLANK(C77),"no venue",ISBLANK(E77),"no bib",ISNUMBER(SEARCH("xiv", C77)),"arxiv",SUM(I77:AA77)&lt;3,"no categories",TRUE,"")</f>
        <v/>
      </c>
      <c r="C77" t="s">
        <v>184</v>
      </c>
      <c r="D77" s="2" t="s">
        <v>317</v>
      </c>
      <c r="E77" s="12" t="s">
        <v>319</v>
      </c>
      <c r="G77">
        <v>2024</v>
      </c>
      <c r="H77">
        <v>1</v>
      </c>
      <c r="I77">
        <v>1</v>
      </c>
      <c r="O77">
        <v>1</v>
      </c>
      <c r="S77" s="4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D77">
        <v>1</v>
      </c>
      <c r="AE77">
        <f t="shared" si="15"/>
        <v>0</v>
      </c>
      <c r="AF77">
        <f t="shared" si="24"/>
        <v>1</v>
      </c>
      <c r="AG77" t="str">
        <f t="shared" si="25"/>
        <v>hu-etal-2024-findings</v>
      </c>
      <c r="AH77" t="str">
        <f t="shared" si="26"/>
        <v>hu-etal-2024-findings</v>
      </c>
      <c r="AI77" t="str">
        <f t="shared" si="27"/>
        <v>hu-etal-2024-findings</v>
      </c>
      <c r="AK77">
        <f t="shared" si="28"/>
        <v>1</v>
      </c>
    </row>
    <row r="78" spans="1:37">
      <c r="A78">
        <f t="shared" si="23"/>
        <v>77</v>
      </c>
      <c r="B78" t="str" cm="1">
        <f t="array" ref="B78">_xlfn.IFS(ISBLANK(D78),"",ISBLANK(C78),"no venue",ISBLANK(E78),"no bib",ISNUMBER(SEARCH("xiv", C78)),"arxiv",SUM(I78:AA78)&lt;3,"no categories",TRUE,"")</f>
        <v/>
      </c>
      <c r="C78" t="s">
        <v>185</v>
      </c>
      <c r="D78" s="2" t="s">
        <v>305</v>
      </c>
      <c r="E78" s="9" t="s">
        <v>365</v>
      </c>
      <c r="G78">
        <v>2024</v>
      </c>
      <c r="H78">
        <v>1</v>
      </c>
      <c r="K78">
        <v>1</v>
      </c>
      <c r="O78">
        <v>1</v>
      </c>
      <c r="S78" s="4">
        <v>1</v>
      </c>
      <c r="T78">
        <v>1</v>
      </c>
      <c r="U78">
        <v>1</v>
      </c>
      <c r="W78">
        <v>1</v>
      </c>
      <c r="X78">
        <v>1</v>
      </c>
      <c r="Y78">
        <v>1</v>
      </c>
      <c r="Z78">
        <v>1</v>
      </c>
      <c r="AD78">
        <v>1</v>
      </c>
      <c r="AE78">
        <f t="shared" si="15"/>
        <v>0</v>
      </c>
      <c r="AF78">
        <f t="shared" si="24"/>
        <v>1</v>
      </c>
      <c r="AG78" t="str">
        <f t="shared" si="25"/>
        <v>tam2024llm</v>
      </c>
      <c r="AH78" t="str">
        <f t="shared" si="26"/>
        <v>tam2024llm</v>
      </c>
      <c r="AI78" t="str">
        <f t="shared" si="27"/>
        <v>tam2024llm</v>
      </c>
      <c r="AK78">
        <f t="shared" si="28"/>
        <v>1</v>
      </c>
    </row>
    <row r="79" spans="1:37">
      <c r="A79">
        <f t="shared" si="23"/>
        <v>78</v>
      </c>
      <c r="B79" t="str" cm="1">
        <f t="array" ref="B79">_xlfn.IFS(ISBLANK(D79),"",ISBLANK(C79),"no venue",ISBLANK(E79),"no bib",ISNUMBER(SEARCH("xiv", C79)),"arxiv",SUM(I79:AA79)&lt;3,"no categories",TRUE,"")</f>
        <v/>
      </c>
      <c r="C79" t="s">
        <v>312</v>
      </c>
      <c r="D79" s="11" t="s">
        <v>295</v>
      </c>
      <c r="E79" s="12" t="s">
        <v>367</v>
      </c>
      <c r="G79">
        <v>2024</v>
      </c>
      <c r="H79">
        <v>1</v>
      </c>
      <c r="O79">
        <v>1</v>
      </c>
      <c r="R79">
        <v>1</v>
      </c>
      <c r="S79" s="4"/>
      <c r="T79">
        <v>1</v>
      </c>
      <c r="W79">
        <v>1</v>
      </c>
      <c r="Y79">
        <v>1</v>
      </c>
      <c r="AA79">
        <v>1</v>
      </c>
      <c r="AD79">
        <v>1</v>
      </c>
      <c r="AE79">
        <f t="shared" si="15"/>
        <v>0</v>
      </c>
      <c r="AF79">
        <f t="shared" si="24"/>
        <v>1</v>
      </c>
      <c r="AG79" t="str">
        <f t="shared" si="25"/>
        <v>singh2024global</v>
      </c>
      <c r="AH79" t="str">
        <f t="shared" si="26"/>
        <v>singh2024global</v>
      </c>
      <c r="AI79" t="str">
        <f t="shared" si="27"/>
        <v>singh2024global</v>
      </c>
      <c r="AK79">
        <f t="shared" si="28"/>
        <v>0</v>
      </c>
    </row>
    <row r="80" spans="1:37">
      <c r="A80">
        <f t="shared" si="23"/>
        <v>79</v>
      </c>
      <c r="C80" t="s">
        <v>321</v>
      </c>
      <c r="D80" s="2" t="s">
        <v>320</v>
      </c>
      <c r="E80" s="12" t="s">
        <v>344</v>
      </c>
      <c r="G80">
        <v>2025</v>
      </c>
      <c r="H80">
        <v>1</v>
      </c>
      <c r="O80">
        <v>1</v>
      </c>
      <c r="R80">
        <v>1</v>
      </c>
      <c r="T80">
        <v>1</v>
      </c>
      <c r="X80">
        <v>1</v>
      </c>
      <c r="AA80">
        <v>1</v>
      </c>
      <c r="AD80">
        <v>1</v>
      </c>
      <c r="AF80">
        <f t="shared" si="24"/>
        <v>1</v>
      </c>
      <c r="AG80" t="str">
        <f t="shared" si="25"/>
        <v>ashurytahan2025mightytorrbenchmarktable</v>
      </c>
      <c r="AH80" t="str">
        <f t="shared" si="26"/>
        <v/>
      </c>
      <c r="AI80" t="str">
        <f t="shared" si="27"/>
        <v/>
      </c>
      <c r="AK80">
        <f t="shared" si="28"/>
        <v>0</v>
      </c>
    </row>
    <row r="81" spans="1:37">
      <c r="A81">
        <f t="shared" si="23"/>
        <v>80</v>
      </c>
      <c r="B81" t="str" cm="1">
        <f t="array" ref="B81">_xlfn.IFS(ISBLANK(D81),"",ISBLANK(C81),"no venue",ISBLANK(E81),"no bib",ISNUMBER(SEARCH("xiv", C81)),"arxiv",SUM(I81:AA81)&lt;3,"no categories",TRUE,"")</f>
        <v/>
      </c>
      <c r="C81" t="s">
        <v>312</v>
      </c>
      <c r="D81" s="2" t="s">
        <v>322</v>
      </c>
      <c r="E81" s="12" t="s">
        <v>323</v>
      </c>
      <c r="G81">
        <v>2025</v>
      </c>
      <c r="H81">
        <v>1</v>
      </c>
      <c r="K81">
        <v>1</v>
      </c>
      <c r="O81">
        <v>1</v>
      </c>
      <c r="Q81">
        <v>1</v>
      </c>
      <c r="R81">
        <v>1</v>
      </c>
      <c r="T81">
        <v>1</v>
      </c>
      <c r="U81">
        <v>1</v>
      </c>
      <c r="W81">
        <v>1</v>
      </c>
      <c r="X81">
        <v>1</v>
      </c>
      <c r="Y81">
        <v>1</v>
      </c>
      <c r="AA81">
        <v>1</v>
      </c>
      <c r="AD81">
        <v>1</v>
      </c>
      <c r="AF81">
        <f t="shared" si="24"/>
        <v>1</v>
      </c>
      <c r="AG81" t="str">
        <f t="shared" si="25"/>
        <v>habba-etal-2025-dove</v>
      </c>
      <c r="AH81" t="str">
        <f t="shared" si="26"/>
        <v>habba-etal-2025-dove</v>
      </c>
      <c r="AI81" t="str">
        <f t="shared" si="27"/>
        <v>habba-etal-2025-dove</v>
      </c>
      <c r="AK81">
        <f t="shared" si="28"/>
        <v>0</v>
      </c>
    </row>
    <row r="82" spans="1:37">
      <c r="A82">
        <f t="shared" si="23"/>
        <v>81</v>
      </c>
      <c r="B82" t="str" cm="1">
        <f t="array" ref="B82">_xlfn.IFS(ISBLANK(D82),"",ISBLANK(C82),"no venue",ISBLANK(E82),"no bib",ISNUMBER(SEARCH("xiv", C82)),"arxiv",SUM(I82:AA82)&lt;3,"no categories",TRUE,"")</f>
        <v>arxiv</v>
      </c>
      <c r="C82" t="s">
        <v>28</v>
      </c>
      <c r="D82" s="2" t="s">
        <v>324</v>
      </c>
      <c r="E82" s="12" t="s">
        <v>325</v>
      </c>
      <c r="G82">
        <v>2025</v>
      </c>
      <c r="H82">
        <v>1</v>
      </c>
      <c r="O82">
        <v>1</v>
      </c>
      <c r="Q82">
        <v>1</v>
      </c>
      <c r="S82">
        <v>1</v>
      </c>
      <c r="U82">
        <v>1</v>
      </c>
      <c r="X82">
        <v>1</v>
      </c>
      <c r="Y82">
        <v>1</v>
      </c>
      <c r="Z82">
        <v>1</v>
      </c>
      <c r="AD82">
        <v>1</v>
      </c>
      <c r="AF82">
        <f t="shared" si="24"/>
        <v>0</v>
      </c>
      <c r="AG82" t="str">
        <f t="shared" si="25"/>
        <v/>
      </c>
      <c r="AH82" t="str">
        <f t="shared" si="26"/>
        <v/>
      </c>
      <c r="AI82" t="str">
        <f t="shared" si="27"/>
        <v>saroufim2025neurips</v>
      </c>
      <c r="AK82">
        <f t="shared" si="28"/>
        <v>0</v>
      </c>
    </row>
    <row r="83" spans="1:37">
      <c r="A83">
        <f t="shared" si="23"/>
        <v>82</v>
      </c>
      <c r="B83" t="s">
        <v>349</v>
      </c>
      <c r="C83" t="s">
        <v>345</v>
      </c>
      <c r="D83" s="2" t="s">
        <v>326</v>
      </c>
      <c r="E83" s="12" t="s">
        <v>330</v>
      </c>
      <c r="G83">
        <v>2026</v>
      </c>
      <c r="H83">
        <v>1</v>
      </c>
      <c r="I83">
        <v>1</v>
      </c>
      <c r="N83">
        <v>1</v>
      </c>
      <c r="Q83">
        <v>1</v>
      </c>
      <c r="S83">
        <v>1</v>
      </c>
      <c r="V83">
        <v>1</v>
      </c>
      <c r="AA83">
        <v>1</v>
      </c>
      <c r="AD83">
        <v>1</v>
      </c>
      <c r="AF83">
        <f t="shared" si="24"/>
        <v>0</v>
      </c>
      <c r="AG83" t="str">
        <f t="shared" si="25"/>
        <v/>
      </c>
      <c r="AH83" t="str">
        <f t="shared" si="26"/>
        <v/>
      </c>
      <c r="AI83" t="str">
        <f t="shared" si="27"/>
        <v/>
      </c>
      <c r="AK83">
        <f t="shared" si="28"/>
        <v>0</v>
      </c>
    </row>
    <row r="84" spans="1:37">
      <c r="A84">
        <f t="shared" si="23"/>
        <v>83</v>
      </c>
      <c r="B84" t="str" cm="1">
        <f t="array" ref="B84">_xlfn.IFS(ISBLANK(D84),"",ISBLANK(C84),"no venue",ISBLANK(E84),"no bib",ISNUMBER(SEARCH("xiv", C84)),"arxiv",SUM(I84:AA84)&lt;3,"no categories",TRUE,"")</f>
        <v>arxiv</v>
      </c>
      <c r="C84" t="s">
        <v>291</v>
      </c>
      <c r="D84" s="2" t="s">
        <v>327</v>
      </c>
      <c r="E84" s="12" t="s">
        <v>329</v>
      </c>
      <c r="G84">
        <v>2025</v>
      </c>
      <c r="H84">
        <v>1</v>
      </c>
      <c r="O84">
        <v>1</v>
      </c>
      <c r="Q84">
        <v>1</v>
      </c>
      <c r="R84">
        <v>1</v>
      </c>
      <c r="S84">
        <v>1</v>
      </c>
      <c r="T84">
        <v>1</v>
      </c>
      <c r="U84">
        <v>1</v>
      </c>
      <c r="W84">
        <v>1</v>
      </c>
      <c r="Y84">
        <v>1</v>
      </c>
      <c r="AA84">
        <v>1</v>
      </c>
      <c r="AD84">
        <v>1</v>
      </c>
      <c r="AF84">
        <f t="shared" si="24"/>
        <v>1</v>
      </c>
      <c r="AG84" t="str">
        <f t="shared" si="25"/>
        <v>guertler2025textarena</v>
      </c>
      <c r="AH84" t="str">
        <f t="shared" si="26"/>
        <v>guertler2025textarena</v>
      </c>
      <c r="AI84" t="str">
        <f t="shared" si="27"/>
        <v>guertler2025textarena</v>
      </c>
      <c r="AK84">
        <f t="shared" si="28"/>
        <v>0</v>
      </c>
    </row>
    <row r="85" spans="1:37">
      <c r="A85">
        <f t="shared" si="23"/>
        <v>84</v>
      </c>
      <c r="B85" t="str" cm="1">
        <f t="array" ref="B85">_xlfn.IFS(ISBLANK(D85),"",ISBLANK(C85),"no venue",ISBLANK(E85),"no bib",ISNUMBER(SEARCH("xiv", C85)),"arxiv",SUM(I85:AA85)&lt;3,"no categories",TRUE,"")</f>
        <v>arxiv</v>
      </c>
      <c r="C85" t="s">
        <v>291</v>
      </c>
      <c r="D85" s="2" t="s">
        <v>331</v>
      </c>
      <c r="E85" s="12" t="s">
        <v>332</v>
      </c>
      <c r="G85">
        <v>2025</v>
      </c>
      <c r="H85">
        <v>1</v>
      </c>
      <c r="P85">
        <v>1</v>
      </c>
      <c r="Q85">
        <v>1</v>
      </c>
      <c r="S85">
        <v>1</v>
      </c>
      <c r="AA85">
        <v>1</v>
      </c>
      <c r="AD85">
        <v>1</v>
      </c>
      <c r="AF85">
        <f t="shared" si="24"/>
        <v>1</v>
      </c>
      <c r="AG85" t="str">
        <f t="shared" si="25"/>
        <v>zhang2025can</v>
      </c>
      <c r="AH85" t="str">
        <f t="shared" si="26"/>
        <v/>
      </c>
      <c r="AI85" t="str">
        <f t="shared" si="27"/>
        <v/>
      </c>
      <c r="AK85">
        <f t="shared" si="28"/>
        <v>0</v>
      </c>
    </row>
    <row r="86" spans="1:37">
      <c r="A86">
        <f t="shared" si="23"/>
        <v>85</v>
      </c>
      <c r="B86" t="str" cm="1">
        <f t="array" ref="B86">_xlfn.IFS(ISBLANK(D86),"",ISBLANK(C86),"no venue",ISBLANK(E86),"no bib",ISNUMBER(SEARCH("xiv", C86)),"arxiv",SUM(I86:AA86)&lt;3,"no categories",TRUE,"")</f>
        <v>arxiv</v>
      </c>
      <c r="C86" t="s">
        <v>334</v>
      </c>
      <c r="D86" s="2" t="s">
        <v>333</v>
      </c>
      <c r="E86" s="12" t="s">
        <v>335</v>
      </c>
      <c r="G86">
        <v>2025</v>
      </c>
      <c r="H86">
        <v>1</v>
      </c>
      <c r="M86">
        <v>1</v>
      </c>
      <c r="Q86">
        <v>1</v>
      </c>
      <c r="AA86">
        <v>1</v>
      </c>
      <c r="AD86">
        <v>1</v>
      </c>
      <c r="AF86">
        <f t="shared" si="24"/>
        <v>0</v>
      </c>
      <c r="AG86" t="str">
        <f t="shared" si="25"/>
        <v/>
      </c>
      <c r="AH86" t="str">
        <f t="shared" si="26"/>
        <v/>
      </c>
      <c r="AI86" t="str">
        <f t="shared" si="27"/>
        <v/>
      </c>
      <c r="AK86">
        <f t="shared" si="28"/>
        <v>0</v>
      </c>
    </row>
    <row r="87" spans="1:37">
      <c r="A87">
        <f t="shared" si="23"/>
        <v>86</v>
      </c>
      <c r="B87" t="str" cm="1">
        <f t="array" ref="B87">_xlfn.IFS(ISBLANK(D87),"",ISBLANK(C87),"no venue",ISBLANK(E87),"no bib",ISNUMBER(SEARCH("xiv", C87)),"arxiv",SUM(I87:AA87)&lt;3,"no categories",TRUE,"")</f>
        <v/>
      </c>
      <c r="C87" t="s">
        <v>343</v>
      </c>
      <c r="D87" s="2" t="s">
        <v>336</v>
      </c>
      <c r="E87" s="12" t="s">
        <v>338</v>
      </c>
      <c r="G87">
        <v>2025</v>
      </c>
      <c r="H87">
        <v>1</v>
      </c>
      <c r="O87">
        <v>1</v>
      </c>
      <c r="W87">
        <v>1</v>
      </c>
      <c r="Y87">
        <v>1</v>
      </c>
      <c r="Z87">
        <v>1</v>
      </c>
      <c r="AA87">
        <v>1</v>
      </c>
      <c r="AD87">
        <v>1</v>
      </c>
      <c r="AF87">
        <f t="shared" si="24"/>
        <v>0</v>
      </c>
      <c r="AG87" t="str">
        <f t="shared" si="25"/>
        <v/>
      </c>
      <c r="AH87" t="str">
        <f t="shared" si="26"/>
        <v>zipnn</v>
      </c>
      <c r="AI87" t="str">
        <f t="shared" si="27"/>
        <v>zipnn</v>
      </c>
      <c r="AK87">
        <f t="shared" si="28"/>
        <v>0</v>
      </c>
    </row>
    <row r="88" spans="1:37">
      <c r="A88">
        <f t="shared" si="23"/>
        <v>87</v>
      </c>
      <c r="B88" t="str" cm="1">
        <f t="array" ref="B88">_xlfn.IFS(ISBLANK(D88),"",ISBLANK(C88),"no venue",ISBLANK(E88),"no bib",ISNUMBER(SEARCH("xiv", C88)),"arxiv",SUM(I88:AA88)&lt;3,"no categories",TRUE,"")</f>
        <v/>
      </c>
      <c r="C88" t="s">
        <v>292</v>
      </c>
      <c r="D88" s="2" t="s">
        <v>340</v>
      </c>
      <c r="E88" s="9" t="s">
        <v>346</v>
      </c>
      <c r="G88">
        <v>2025</v>
      </c>
      <c r="H88">
        <v>1</v>
      </c>
      <c r="Q88">
        <v>1</v>
      </c>
      <c r="S88">
        <v>1</v>
      </c>
      <c r="AA88">
        <v>1</v>
      </c>
      <c r="AD88">
        <v>1</v>
      </c>
      <c r="AF88">
        <f t="shared" si="24"/>
        <v>0</v>
      </c>
      <c r="AG88" t="str">
        <f t="shared" si="25"/>
        <v/>
      </c>
      <c r="AH88" t="str">
        <f t="shared" si="26"/>
        <v/>
      </c>
      <c r="AI88" t="str">
        <f t="shared" si="27"/>
        <v/>
      </c>
      <c r="AK88">
        <f t="shared" si="28"/>
        <v>0</v>
      </c>
    </row>
    <row r="89" spans="1:37">
      <c r="A89">
        <f t="shared" si="23"/>
        <v>88</v>
      </c>
      <c r="B89" t="str" cm="1">
        <f t="array" ref="B89">_xlfn.IFS(ISBLANK(D89),"",ISBLANK(C89),"no venue",ISBLANK(E89),"no bib",ISNUMBER(SEARCH("xiv", C89)),"arxiv",SUM(I89:AA89)&lt;3,"no categories",TRUE,"")</f>
        <v>arxiv</v>
      </c>
      <c r="C89" t="s">
        <v>334</v>
      </c>
      <c r="D89" s="2" t="s">
        <v>339</v>
      </c>
      <c r="E89" s="12" t="s">
        <v>347</v>
      </c>
      <c r="G89">
        <v>2025</v>
      </c>
      <c r="H89">
        <v>1</v>
      </c>
      <c r="Q89">
        <v>1</v>
      </c>
      <c r="S89">
        <v>1</v>
      </c>
      <c r="AA89">
        <v>1</v>
      </c>
      <c r="AD89">
        <v>1</v>
      </c>
      <c r="AF89">
        <f t="shared" si="24"/>
        <v>0</v>
      </c>
      <c r="AG89" t="str">
        <f t="shared" si="25"/>
        <v/>
      </c>
      <c r="AH89" t="str">
        <f t="shared" si="26"/>
        <v/>
      </c>
      <c r="AI89" t="str">
        <f t="shared" si="27"/>
        <v/>
      </c>
      <c r="AK89">
        <f t="shared" si="28"/>
        <v>0</v>
      </c>
    </row>
    <row r="90" spans="1:37">
      <c r="A90">
        <f t="shared" si="23"/>
        <v>89</v>
      </c>
      <c r="B90" t="s">
        <v>349</v>
      </c>
      <c r="C90" t="s">
        <v>345</v>
      </c>
      <c r="D90" s="2" t="s">
        <v>348</v>
      </c>
      <c r="E90" s="12" t="s">
        <v>352</v>
      </c>
      <c r="G90">
        <v>2026</v>
      </c>
      <c r="H90">
        <v>1</v>
      </c>
      <c r="I90">
        <v>1</v>
      </c>
      <c r="N90">
        <v>1</v>
      </c>
      <c r="O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1</v>
      </c>
      <c r="Y90">
        <v>1</v>
      </c>
      <c r="AA90">
        <v>1</v>
      </c>
      <c r="AD90">
        <v>1</v>
      </c>
      <c r="AF90">
        <f t="shared" si="24"/>
        <v>1</v>
      </c>
      <c r="AG90" t="str">
        <f t="shared" si="25"/>
        <v>jumelet2025babybabellm</v>
      </c>
      <c r="AH90" t="str">
        <f t="shared" si="26"/>
        <v>jumelet2025babybabellm</v>
      </c>
      <c r="AI90" t="str">
        <f t="shared" si="27"/>
        <v>jumelet2025babybabellm</v>
      </c>
      <c r="AK90">
        <f t="shared" si="28"/>
        <v>0</v>
      </c>
    </row>
    <row r="91" spans="1:37">
      <c r="A91">
        <f t="shared" si="23"/>
        <v>90</v>
      </c>
      <c r="B91" t="str" cm="1">
        <f t="array" ref="B91">_xlfn.IFS(ISBLANK(D91),"",ISBLANK(C91),"no venue",ISBLANK(E91),"no bib",ISNUMBER(SEARCH("xiv", C91)),"arxiv",SUM(I91:AA91)&lt;3,"no categories",TRUE,"")</f>
        <v>arxiv</v>
      </c>
      <c r="C91" t="s">
        <v>342</v>
      </c>
      <c r="D91" s="2" t="s">
        <v>350</v>
      </c>
      <c r="E91" s="12" t="s">
        <v>351</v>
      </c>
      <c r="G91">
        <v>2026</v>
      </c>
      <c r="H91">
        <v>1</v>
      </c>
      <c r="N91">
        <v>1</v>
      </c>
      <c r="O91">
        <v>1</v>
      </c>
      <c r="R91">
        <v>1</v>
      </c>
      <c r="U91">
        <v>1</v>
      </c>
      <c r="Y91">
        <v>1</v>
      </c>
      <c r="AA91">
        <v>1</v>
      </c>
      <c r="AD91">
        <v>1</v>
      </c>
      <c r="AF91">
        <f t="shared" si="24"/>
        <v>0</v>
      </c>
      <c r="AG91" t="str">
        <f t="shared" si="25"/>
        <v/>
      </c>
      <c r="AH91" t="str">
        <f t="shared" si="26"/>
        <v/>
      </c>
      <c r="AI91" t="str">
        <f t="shared" si="27"/>
        <v>chang2025globalpiqaevaluatingphysical</v>
      </c>
      <c r="AK91">
        <f t="shared" si="28"/>
        <v>0</v>
      </c>
    </row>
    <row r="92" spans="1:37">
      <c r="A92">
        <f t="shared" si="23"/>
        <v>91</v>
      </c>
      <c r="B92" t="str" cm="1">
        <f t="array" ref="B92">_xlfn.IFS(ISBLANK(D92),"",ISBLANK(C92),"no venue",ISBLANK(E92),"no bib",ISNUMBER(SEARCH("xiv", C92)),"arxiv",SUM(I92:AA92)&lt;3,"no categories",TRUE,"")</f>
        <v/>
      </c>
      <c r="C92" s="2" t="s">
        <v>310</v>
      </c>
      <c r="D92" s="2" t="s">
        <v>353</v>
      </c>
      <c r="E92" s="12" t="s">
        <v>354</v>
      </c>
      <c r="G92">
        <v>2026</v>
      </c>
      <c r="H92">
        <v>1</v>
      </c>
      <c r="I92">
        <v>1</v>
      </c>
      <c r="N92">
        <v>1</v>
      </c>
      <c r="O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Z92">
        <v>1</v>
      </c>
      <c r="AA92">
        <v>1</v>
      </c>
      <c r="AB92">
        <v>1</v>
      </c>
      <c r="AD92">
        <v>1</v>
      </c>
      <c r="AF92">
        <f t="shared" si="24"/>
        <v>1</v>
      </c>
      <c r="AG92" t="str">
        <f t="shared" si="25"/>
        <v>charpentier-etal-2025-findings</v>
      </c>
      <c r="AH92" t="str">
        <f t="shared" si="26"/>
        <v/>
      </c>
      <c r="AI92" t="str">
        <f t="shared" si="27"/>
        <v/>
      </c>
      <c r="AK92">
        <f t="shared" si="28"/>
        <v>1</v>
      </c>
    </row>
    <row r="93" spans="1:37">
      <c r="A93">
        <f t="shared" si="23"/>
        <v>92</v>
      </c>
      <c r="B93" t="str" cm="1">
        <f t="array" ref="B93">_xlfn.IFS(ISBLANK(D93),"",ISBLANK(C93),"no venue",ISBLANK(E93),"no bib",ISNUMBER(SEARCH("xiv", C93)),"arxiv",SUM(I93:AA93)&lt;3,"no categories",TRUE,"")</f>
        <v>no bib</v>
      </c>
      <c r="C93" t="s">
        <v>342</v>
      </c>
      <c r="D93" s="2" t="s">
        <v>356</v>
      </c>
      <c r="G93">
        <v>2026</v>
      </c>
      <c r="H93">
        <v>1</v>
      </c>
      <c r="I93">
        <v>1</v>
      </c>
      <c r="L93">
        <v>1</v>
      </c>
      <c r="N93">
        <v>1</v>
      </c>
      <c r="P93">
        <v>1</v>
      </c>
      <c r="Q93">
        <v>1</v>
      </c>
      <c r="S93">
        <v>1</v>
      </c>
      <c r="Y93">
        <v>1</v>
      </c>
      <c r="Z93">
        <v>1</v>
      </c>
      <c r="AA93">
        <v>1</v>
      </c>
      <c r="AD93">
        <v>1</v>
      </c>
      <c r="AF93">
        <f t="shared" si="24"/>
        <v>1</v>
      </c>
      <c r="AG93">
        <f t="shared" si="25"/>
        <v>0</v>
      </c>
      <c r="AH93" t="str">
        <f t="shared" si="26"/>
        <v/>
      </c>
      <c r="AI93">
        <f t="shared" si="27"/>
        <v>0</v>
      </c>
      <c r="AK93">
        <f t="shared" si="28"/>
        <v>0</v>
      </c>
    </row>
    <row r="94" spans="1:37">
      <c r="A94">
        <f t="shared" si="23"/>
        <v>93</v>
      </c>
      <c r="B94" t="str" cm="1">
        <f t="array" ref="B94">_xlfn.IFS(ISBLANK(D94),"",ISBLANK(C94),"no venue",ISBLANK(E94),"no bib",ISNUMBER(SEARCH("xiv", C94)),"arxiv",SUM(I94:AA94)&lt;3,"no categories",TRUE,"")</f>
        <v>arxiv</v>
      </c>
      <c r="C94" t="s">
        <v>342</v>
      </c>
      <c r="D94" s="9" t="s">
        <v>358</v>
      </c>
      <c r="E94" s="12" t="s">
        <v>357</v>
      </c>
      <c r="G94">
        <v>2026</v>
      </c>
      <c r="H94">
        <v>1</v>
      </c>
      <c r="O94">
        <v>1</v>
      </c>
      <c r="R94">
        <v>1</v>
      </c>
      <c r="S94">
        <v>1</v>
      </c>
      <c r="U94">
        <v>1</v>
      </c>
      <c r="W94">
        <v>1</v>
      </c>
      <c r="Y94">
        <v>1</v>
      </c>
      <c r="AA94">
        <v>1</v>
      </c>
      <c r="AD94">
        <v>1</v>
      </c>
      <c r="AF94">
        <f t="shared" si="24"/>
        <v>0</v>
      </c>
      <c r="AG94" t="str">
        <f t="shared" si="25"/>
        <v/>
      </c>
      <c r="AH94" t="str">
        <f t="shared" si="26"/>
        <v>suarez2026commonlid</v>
      </c>
      <c r="AI94" t="str">
        <f t="shared" si="27"/>
        <v>suarez2026commonlid</v>
      </c>
      <c r="AK94">
        <f t="shared" si="28"/>
        <v>0</v>
      </c>
    </row>
    <row r="95" spans="1:37">
      <c r="A95">
        <f t="shared" si="23"/>
        <v>94</v>
      </c>
      <c r="B95" t="str" cm="1">
        <f t="array" ref="B95">_xlfn.IFS(ISBLANK(D95),"",ISBLANK(C95),"no venue",ISBLANK(E95),"no bib",ISNUMBER(SEARCH("xiv", C95)),"arxiv",SUM(I95:AA95)&lt;3,"no categories",TRUE,"")</f>
        <v>arxiv</v>
      </c>
      <c r="C95" t="s">
        <v>342</v>
      </c>
      <c r="D95" s="2" t="s">
        <v>359</v>
      </c>
      <c r="E95" s="12" t="s">
        <v>360</v>
      </c>
      <c r="G95">
        <v>2026</v>
      </c>
      <c r="H95">
        <v>1</v>
      </c>
      <c r="K95">
        <v>1</v>
      </c>
      <c r="P95">
        <v>1</v>
      </c>
      <c r="Q95">
        <v>1</v>
      </c>
      <c r="S95">
        <v>1</v>
      </c>
      <c r="W95">
        <v>1</v>
      </c>
      <c r="Y95">
        <v>1</v>
      </c>
      <c r="Z95">
        <v>1</v>
      </c>
      <c r="AA95">
        <v>1</v>
      </c>
      <c r="AD95">
        <v>1</v>
      </c>
      <c r="AF95">
        <f t="shared" si="24"/>
        <v>1</v>
      </c>
      <c r="AG95" t="str">
        <f t="shared" si="25"/>
        <v>rahamim2026will</v>
      </c>
      <c r="AH95" t="str">
        <f t="shared" si="26"/>
        <v>rahamim2026will</v>
      </c>
      <c r="AI95" t="str">
        <f t="shared" si="27"/>
        <v>rahamim2026will</v>
      </c>
      <c r="AK95">
        <f t="shared" si="28"/>
        <v>0</v>
      </c>
    </row>
    <row r="96" spans="1:37">
      <c r="A96">
        <f t="shared" si="23"/>
        <v>95</v>
      </c>
      <c r="B96" t="str" cm="1">
        <f t="array" ref="B96">_xlfn.IFS(ISBLANK(D96),"",ISBLANK(C96),"no venue",ISBLANK(E96),"no bib",ISNUMBER(SEARCH("xiv", C96)),"arxiv",SUM(I96:AA96)&lt;3,"no categories",TRUE,"")</f>
        <v>arxiv</v>
      </c>
      <c r="C96" t="s">
        <v>342</v>
      </c>
      <c r="D96" s="2" t="s">
        <v>361</v>
      </c>
      <c r="E96" s="12" t="s">
        <v>364</v>
      </c>
      <c r="G96">
        <v>2026</v>
      </c>
      <c r="H96">
        <v>1</v>
      </c>
      <c r="O96">
        <v>1</v>
      </c>
      <c r="Q96">
        <v>1</v>
      </c>
      <c r="T96">
        <v>1</v>
      </c>
      <c r="AA96">
        <v>1</v>
      </c>
      <c r="AD96">
        <v>1</v>
      </c>
      <c r="AF96">
        <f t="shared" si="24"/>
        <v>1</v>
      </c>
      <c r="AG96" t="str">
        <f t="shared" si="25"/>
        <v>ashury2026errormap</v>
      </c>
      <c r="AH96" t="str">
        <f t="shared" si="26"/>
        <v/>
      </c>
      <c r="AI96" t="str">
        <f t="shared" si="27"/>
        <v/>
      </c>
      <c r="AK96">
        <f t="shared" si="28"/>
        <v>0</v>
      </c>
    </row>
    <row r="97" spans="1:37">
      <c r="A97">
        <f t="shared" si="23"/>
        <v>96</v>
      </c>
      <c r="B97" t="str" cm="1">
        <f t="array" ref="B97">_xlfn.IFS(ISBLANK(D97),"",ISBLANK(C97),"no venue",ISBLANK(E97),"no bib",ISNUMBER(SEARCH("xiv", C97)),"arxiv",SUM(I97:AA97)&lt;3,"no categories",TRUE,"")</f>
        <v>arxiv</v>
      </c>
      <c r="C97" t="s">
        <v>342</v>
      </c>
      <c r="D97" s="2" t="s">
        <v>362</v>
      </c>
      <c r="E97" s="12" t="s">
        <v>363</v>
      </c>
      <c r="G97">
        <v>2026</v>
      </c>
      <c r="H97">
        <v>1</v>
      </c>
      <c r="O97">
        <v>1</v>
      </c>
      <c r="P97">
        <v>1</v>
      </c>
      <c r="T97">
        <v>1</v>
      </c>
      <c r="X97">
        <v>1</v>
      </c>
      <c r="AA97">
        <v>1</v>
      </c>
      <c r="AD97">
        <v>1</v>
      </c>
      <c r="AF97">
        <f t="shared" si="24"/>
        <v>1</v>
      </c>
      <c r="AG97" t="str">
        <f t="shared" si="25"/>
        <v>ashury2026robustness</v>
      </c>
      <c r="AH97" t="str">
        <f t="shared" si="26"/>
        <v/>
      </c>
      <c r="AI97" t="str">
        <f t="shared" si="27"/>
        <v/>
      </c>
      <c r="AK97">
        <f t="shared" si="28"/>
        <v>0</v>
      </c>
    </row>
    <row r="98" spans="1:37">
      <c r="A98">
        <f t="shared" si="23"/>
        <v>97</v>
      </c>
      <c r="B98" t="str" cm="1">
        <f t="array" ref="B98">_xlfn.IFS(ISBLANK(D98),"",ISBLANK(C98),"no venue",ISBLANK(E98),"no bib",ISNUMBER(SEARCH("xiv", C98)),"arxiv",SUM(I98:AA98)&lt;3,"no categories",TRUE,"")</f>
        <v/>
      </c>
      <c r="C98" t="s">
        <v>342</v>
      </c>
      <c r="G98">
        <v>2026</v>
      </c>
      <c r="AF98">
        <f t="shared" si="24"/>
        <v>0</v>
      </c>
      <c r="AG98" t="str">
        <f t="shared" si="25"/>
        <v/>
      </c>
      <c r="AH98" t="str">
        <f t="shared" si="26"/>
        <v/>
      </c>
      <c r="AI98" t="str">
        <f t="shared" si="27"/>
        <v/>
      </c>
      <c r="AK98">
        <f t="shared" si="28"/>
        <v>0</v>
      </c>
    </row>
    <row r="99" spans="1:37" ht="17">
      <c r="A99">
        <f t="shared" si="23"/>
        <v>98</v>
      </c>
      <c r="B99" t="str" cm="1">
        <f t="array" ref="B99">_xlfn.IFS(ISBLANK(D99),"",ISBLANK(C99),"no venue",ISBLANK(E99),"no bib",ISNUMBER(SEARCH("xiv", C99)),"arxiv",SUM(I99:AA99)&lt;3,"no categories",TRUE,"")</f>
        <v/>
      </c>
      <c r="C99" t="s">
        <v>342</v>
      </c>
      <c r="G99">
        <v>2026</v>
      </c>
      <c r="AG99" s="8"/>
    </row>
    <row r="100" spans="1:37" ht="17">
      <c r="A100">
        <f t="shared" si="23"/>
        <v>99</v>
      </c>
      <c r="B100" t="str" cm="1">
        <f t="array" ref="B100">_xlfn.IFS(ISBLANK(D100),"",ISBLANK(C100),"no venue",ISBLANK(E100),"no bib",ISNUMBER(SEARCH("xiv", C100)),"arxiv",SUM(I100:AA100)&lt;3,"no categories",TRUE,"")</f>
        <v/>
      </c>
      <c r="C100" t="s">
        <v>342</v>
      </c>
      <c r="AG100" s="8"/>
    </row>
    <row r="101" spans="1:37" ht="17">
      <c r="A101">
        <f t="shared" si="23"/>
        <v>100</v>
      </c>
      <c r="B101" t="str" cm="1">
        <f t="array" ref="B101">_xlfn.IFS(ISBLANK(D101),"",ISBLANK(C101),"no venue",ISBLANK(E101),"no bib",ISNUMBER(SEARCH("xiv", C101)),"arxiv",SUM(I101:AA101)&lt;3,"no categories",TRUE,"")</f>
        <v/>
      </c>
      <c r="AG101" s="8"/>
    </row>
    <row r="102" spans="1:37" ht="17">
      <c r="A102">
        <f t="shared" si="23"/>
        <v>101</v>
      </c>
      <c r="B102" t="str" cm="1">
        <f t="array" ref="B102">_xlfn.IFS(ISBLANK(D102),"",ISBLANK(C102),"no venue",ISBLANK(E102),"no bib",ISNUMBER(SEARCH("xiv", C102)),"arxiv",SUM(I102:AA102)&lt;3,"no categories",TRUE,"")</f>
        <v/>
      </c>
      <c r="AG102" s="8"/>
    </row>
    <row r="103" spans="1:37" ht="17">
      <c r="A103">
        <f t="shared" si="23"/>
        <v>102</v>
      </c>
      <c r="B103" t="str" cm="1">
        <f t="array" ref="B103">_xlfn.IFS(ISBLANK(D103),"",ISBLANK(C103),"no venue",ISBLANK(E103),"no bib",ISNUMBER(SEARCH("xiv", C103)),"arxiv",SUM(I103:AA103)&lt;3,"no categories",TRUE,"")</f>
        <v/>
      </c>
      <c r="AG103" s="8"/>
    </row>
    <row r="104" spans="1:37" ht="17">
      <c r="A104">
        <f t="shared" si="23"/>
        <v>103</v>
      </c>
      <c r="B104" t="str" cm="1">
        <f t="array" ref="B104">_xlfn.IFS(ISBLANK(D104),"",ISBLANK(C104),"no venue",ISBLANK(E104),"no bib",ISNUMBER(SEARCH("xiv", C104)),"arxiv",SUM(I104:AA104)&lt;3,"no categories",TRUE,"")</f>
        <v/>
      </c>
      <c r="AG104" s="8"/>
    </row>
    <row r="105" spans="1:37" ht="17">
      <c r="A105">
        <f t="shared" si="23"/>
        <v>104</v>
      </c>
      <c r="B105" t="str" cm="1">
        <f t="array" ref="B105">_xlfn.IFS(ISBLANK(D105),"",ISBLANK(C105),"no venue",ISBLANK(E105),"no bib",ISNUMBER(SEARCH("xiv", C105)),"arxiv",SUM(I105:AA105)&lt;3,"no categories",TRUE,"")</f>
        <v/>
      </c>
      <c r="AG105" s="8"/>
    </row>
    <row r="106" spans="1:37" ht="17">
      <c r="A106">
        <f t="shared" si="23"/>
        <v>105</v>
      </c>
      <c r="B106" t="str" cm="1">
        <f t="array" ref="B106">_xlfn.IFS(ISBLANK(D106),"",ISBLANK(C106),"no venue",ISBLANK(E106),"no bib",ISNUMBER(SEARCH("xiv", C106)),"arxiv",SUM(I106:AA106)&lt;3,"no categories",TRUE,"")</f>
        <v/>
      </c>
      <c r="AG106" s="8"/>
    </row>
    <row r="107" spans="1:37" ht="17">
      <c r="A107">
        <f t="shared" si="23"/>
        <v>106</v>
      </c>
      <c r="B107" t="str" cm="1">
        <f t="array" ref="B107">_xlfn.IFS(ISBLANK(D107),"",ISBLANK(C107),"no venue",ISBLANK(E107),"no bib",ISNUMBER(SEARCH("xiv", C107)),"arxiv",SUM(I107:AA107)&lt;3,"no categories",TRUE,"")</f>
        <v/>
      </c>
      <c r="AG107" s="8"/>
    </row>
    <row r="108" spans="1:37" ht="17">
      <c r="A108">
        <f t="shared" si="23"/>
        <v>107</v>
      </c>
      <c r="B108" t="str" cm="1">
        <f t="array" ref="B108">_xlfn.IFS(ISBLANK(D108),"",ISBLANK(C108),"no venue",ISBLANK(E108),"no bib",ISNUMBER(SEARCH("xiv", C108)),"arxiv",SUM(I108:AA108)&lt;3,"no categories",TRUE,"")</f>
        <v/>
      </c>
      <c r="AG108" s="8"/>
    </row>
    <row r="109" spans="1:37" ht="17">
      <c r="A109">
        <f t="shared" si="23"/>
        <v>108</v>
      </c>
      <c r="B109" t="str" cm="1">
        <f t="array" ref="B109">_xlfn.IFS(ISBLANK(D109),"",ISBLANK(C109),"no venue",ISBLANK(E109),"no bib",ISNUMBER(SEARCH("xiv", C109)),"arxiv",SUM(I109:AA109)&lt;3,"no categories",TRUE,"")</f>
        <v/>
      </c>
      <c r="AG109" s="8"/>
    </row>
    <row r="110" spans="1:37" ht="17">
      <c r="A110">
        <f t="shared" si="23"/>
        <v>109</v>
      </c>
      <c r="B110" t="str" cm="1">
        <f t="array" ref="B110">_xlfn.IFS(ISBLANK(D110),"",ISBLANK(C110),"no venue",ISBLANK(E110),"no bib",ISNUMBER(SEARCH("xiv", C110)),"arxiv",SUM(I110:AA110)&lt;3,"no categories",TRUE,"")</f>
        <v/>
      </c>
      <c r="AG110" s="8"/>
    </row>
    <row r="111" spans="1:37" ht="17">
      <c r="A111">
        <f t="shared" si="23"/>
        <v>110</v>
      </c>
      <c r="B111" t="str" cm="1">
        <f t="array" ref="B111">_xlfn.IFS(ISBLANK(D111),"",ISBLANK(C111),"no venue",ISBLANK(E111),"no bib",ISNUMBER(SEARCH("xiv", C111)),"arxiv",SUM(I111:AA111)&lt;3,"no categories",TRUE,"")</f>
        <v/>
      </c>
      <c r="AG111" s="8"/>
    </row>
    <row r="112" spans="1:37" ht="17">
      <c r="A112">
        <f t="shared" si="23"/>
        <v>111</v>
      </c>
      <c r="B112" t="str" cm="1">
        <f t="array" ref="B112">_xlfn.IFS(ISBLANK(D112),"",ISBLANK(C112),"no venue",ISBLANK(E112),"no bib",ISNUMBER(SEARCH("xiv", C112)),"arxiv",SUM(I112:AA112)&lt;3,"no categories",TRUE,"")</f>
        <v/>
      </c>
      <c r="AG112" s="8"/>
    </row>
    <row r="113" spans="1:33" ht="17">
      <c r="A113">
        <f t="shared" si="23"/>
        <v>112</v>
      </c>
      <c r="B113" t="str" cm="1">
        <f t="array" ref="B113">_xlfn.IFS(ISBLANK(D113),"",ISBLANK(C113),"no venue",ISBLANK(E113),"no bib",ISNUMBER(SEARCH("xiv", C113)),"arxiv",SUM(I113:AA113)&lt;3,"no categories",TRUE,"")</f>
        <v/>
      </c>
      <c r="AG113" s="8"/>
    </row>
    <row r="114" spans="1:33" ht="17">
      <c r="A114">
        <f t="shared" si="23"/>
        <v>113</v>
      </c>
      <c r="B114" t="str" cm="1">
        <f t="array" ref="B114">_xlfn.IFS(ISBLANK(D114),"",ISBLANK(C114),"no venue",ISBLANK(E114),"no bib",ISNUMBER(SEARCH("xiv", C114)),"arxiv",SUM(I114:AA114)&lt;3,"no categories",TRUE,"")</f>
        <v/>
      </c>
      <c r="AG114" s="8"/>
    </row>
    <row r="115" spans="1:33" ht="17">
      <c r="A115">
        <f t="shared" si="23"/>
        <v>114</v>
      </c>
      <c r="B115" t="str" cm="1">
        <f t="array" ref="B115">_xlfn.IFS(ISBLANK(D115),"",ISBLANK(C115),"no venue",ISBLANK(E115),"no bib",ISNUMBER(SEARCH("xiv", C115)),"arxiv",SUM(I115:AA115)&lt;3,"no categories",TRUE,"")</f>
        <v/>
      </c>
      <c r="AG115" s="8"/>
    </row>
    <row r="116" spans="1:33" ht="17">
      <c r="A116">
        <f t="shared" si="23"/>
        <v>115</v>
      </c>
      <c r="B116" t="str" cm="1">
        <f t="array" ref="B116">_xlfn.IFS(ISBLANK(D116),"",ISBLANK(C116),"no venue",ISBLANK(E116),"no bib",ISNUMBER(SEARCH("xiv", C116)),"arxiv",SUM(I116:AA116)&lt;3,"no categories",TRUE,"")</f>
        <v/>
      </c>
      <c r="AG116" s="8"/>
    </row>
    <row r="117" spans="1:33" ht="17">
      <c r="A117">
        <f t="shared" si="23"/>
        <v>116</v>
      </c>
      <c r="B117" t="str" cm="1">
        <f t="array" ref="B117">_xlfn.IFS(ISBLANK(D117),"",ISBLANK(C117),"no venue",ISBLANK(E117),"no bib",ISNUMBER(SEARCH("xiv", C117)),"arxiv",SUM(I117:AA117)&lt;3,"no categories",TRUE,"")</f>
        <v/>
      </c>
      <c r="AG117" s="8"/>
    </row>
    <row r="118" spans="1:33" ht="17">
      <c r="A118">
        <f t="shared" si="23"/>
        <v>117</v>
      </c>
      <c r="B118" t="str" cm="1">
        <f t="array" ref="B118">_xlfn.IFS(ISBLANK(D118),"",ISBLANK(C118),"no venue",ISBLANK(E118),"no bib",ISNUMBER(SEARCH("xiv", C118)),"arxiv",SUM(I118:AA118)&lt;3,"no categories",TRUE,"")</f>
        <v/>
      </c>
      <c r="AG118" s="8"/>
    </row>
    <row r="119" spans="1:33" ht="17">
      <c r="A119">
        <f t="shared" si="23"/>
        <v>118</v>
      </c>
      <c r="B119" t="str" cm="1">
        <f t="array" ref="B119">_xlfn.IFS(ISBLANK(D119),"",ISBLANK(C119),"no venue",ISBLANK(E119),"no bib",ISNUMBER(SEARCH("xiv", C119)),"arxiv",SUM(I119:AA119)&lt;3,"no categories",TRUE,"")</f>
        <v/>
      </c>
      <c r="AG119" s="8"/>
    </row>
    <row r="120" spans="1:33" ht="17">
      <c r="A120">
        <f t="shared" si="23"/>
        <v>119</v>
      </c>
      <c r="B120" t="str" cm="1">
        <f t="array" ref="B120">_xlfn.IFS(ISBLANK(D120),"",ISBLANK(C120),"no venue",ISBLANK(E120),"no bib",ISNUMBER(SEARCH("xiv", C120)),"arxiv",SUM(I120:AA120)&lt;3,"no categories",TRUE,"")</f>
        <v/>
      </c>
      <c r="AG120" s="8"/>
    </row>
    <row r="121" spans="1:33" ht="17">
      <c r="A121">
        <f t="shared" si="23"/>
        <v>120</v>
      </c>
      <c r="B121" t="str" cm="1">
        <f t="array" ref="B121">_xlfn.IFS(ISBLANK(D121),"",ISBLANK(C121),"no venue",ISBLANK(E121),"no bib",ISNUMBER(SEARCH("xiv", C121)),"arxiv",SUM(I121:AA121)&lt;3,"no categories",TRUE,"")</f>
        <v/>
      </c>
      <c r="AG121" s="8"/>
    </row>
    <row r="122" spans="1:33" ht="17">
      <c r="A122">
        <f t="shared" si="23"/>
        <v>121</v>
      </c>
      <c r="B122" t="str" cm="1">
        <f t="array" ref="B122">_xlfn.IFS(ISBLANK(D122),"",ISBLANK(C122),"no venue",ISBLANK(E122),"no bib",ISNUMBER(SEARCH("xiv", C122)),"arxiv",SUM(I122:AA122)&lt;3,"no categories",TRUE,"")</f>
        <v/>
      </c>
      <c r="AG122" s="8"/>
    </row>
    <row r="123" spans="1:33" ht="17">
      <c r="A123">
        <f t="shared" si="23"/>
        <v>122</v>
      </c>
      <c r="B123" t="str" cm="1">
        <f t="array" ref="B123">_xlfn.IFS(ISBLANK(D123),"",ISBLANK(C123),"no venue",ISBLANK(E123),"no bib",ISNUMBER(SEARCH("xiv", C123)),"arxiv",SUM(I123:AA123)&lt;3,"no categories",TRUE,"")</f>
        <v/>
      </c>
      <c r="AG123" s="8"/>
    </row>
    <row r="124" spans="1:33" ht="17">
      <c r="A124">
        <f t="shared" si="23"/>
        <v>123</v>
      </c>
      <c r="B124" t="str" cm="1">
        <f t="array" ref="B124">_xlfn.IFS(ISBLANK(D124),"",ISBLANK(C124),"no venue",ISBLANK(E124),"no bib",ISNUMBER(SEARCH("xiv", C124)),"arxiv",SUM(I124:AA124)&lt;3,"no categories",TRUE,"")</f>
        <v/>
      </c>
      <c r="AG124" s="8"/>
    </row>
    <row r="125" spans="1:33" ht="17">
      <c r="A125">
        <f t="shared" si="23"/>
        <v>124</v>
      </c>
      <c r="B125" t="str" cm="1">
        <f t="array" ref="B125">_xlfn.IFS(ISBLANK(D125),"",ISBLANK(C125),"no venue",ISBLANK(E125),"no bib",ISNUMBER(SEARCH("xiv", C125)),"arxiv",SUM(I125:AA125)&lt;3,"no categories",TRUE,"")</f>
        <v/>
      </c>
      <c r="AG125" s="8"/>
    </row>
    <row r="126" spans="1:33" ht="17">
      <c r="A126">
        <f t="shared" si="23"/>
        <v>125</v>
      </c>
      <c r="B126" t="str" cm="1">
        <f t="array" ref="B126">_xlfn.IFS(ISBLANK(D126),"",ISBLANK(C126),"no venue",ISBLANK(E126),"no bib",ISNUMBER(SEARCH("xiv", C126)),"arxiv",SUM(I126:AA126)&lt;3,"no categories",TRUE,"")</f>
        <v/>
      </c>
      <c r="AG126" s="8"/>
    </row>
    <row r="127" spans="1:33" ht="17">
      <c r="A127">
        <f t="shared" si="23"/>
        <v>126</v>
      </c>
      <c r="B127" t="str" cm="1">
        <f t="array" ref="B127">_xlfn.IFS(ISBLANK(D127),"",ISBLANK(C127),"no venue",ISBLANK(E127),"no bib",ISNUMBER(SEARCH("xiv", C127)),"arxiv",SUM(I127:AA127)&lt;3,"no categories",TRUE,"")</f>
        <v/>
      </c>
      <c r="AG127" s="8"/>
    </row>
    <row r="128" spans="1:33" ht="17">
      <c r="AG128" s="8"/>
    </row>
    <row r="129" spans="7:36" ht="17">
      <c r="AG129" s="8"/>
    </row>
    <row r="130" spans="7:36" ht="17">
      <c r="AG130" s="8"/>
    </row>
    <row r="131" spans="7:36" ht="17">
      <c r="AG131" s="8"/>
    </row>
    <row r="132" spans="7:36" ht="17">
      <c r="AG132" s="8"/>
    </row>
    <row r="133" spans="7:36" ht="17">
      <c r="AG133" s="8"/>
    </row>
    <row r="134" spans="7:36" ht="17">
      <c r="AG134" s="8"/>
    </row>
    <row r="135" spans="7:36" ht="17">
      <c r="AG135" s="8"/>
    </row>
    <row r="137" spans="7:36">
      <c r="G137" s="1" t="s">
        <v>179</v>
      </c>
      <c r="H137">
        <f>SUM(H2:H79)</f>
        <v>77</v>
      </c>
      <c r="I137">
        <f t="shared" ref="I137:N137" si="30">SUM(I2:I78)</f>
        <v>6</v>
      </c>
      <c r="J137">
        <f t="shared" si="30"/>
        <v>5</v>
      </c>
      <c r="K137">
        <f t="shared" si="30"/>
        <v>11</v>
      </c>
      <c r="L137">
        <f t="shared" si="30"/>
        <v>2</v>
      </c>
      <c r="M137">
        <f t="shared" si="30"/>
        <v>4</v>
      </c>
      <c r="N137">
        <f t="shared" si="30"/>
        <v>4</v>
      </c>
      <c r="O137">
        <f>SUM(O2:O79)</f>
        <v>39</v>
      </c>
      <c r="P137">
        <f>SUM(P2:P78)</f>
        <v>42</v>
      </c>
      <c r="Q137">
        <f>SUM(Q2:Q78)</f>
        <v>43</v>
      </c>
      <c r="R137">
        <f>SUM(R2:R78)</f>
        <v>21</v>
      </c>
      <c r="S137">
        <f>SUM(S2:S78)</f>
        <v>32</v>
      </c>
      <c r="T137">
        <f>SUM(T2:T79)</f>
        <v>40</v>
      </c>
      <c r="U137">
        <f>SUM(U2:U78)</f>
        <v>15</v>
      </c>
      <c r="V137">
        <f>SUM(V2:V78)</f>
        <v>31</v>
      </c>
      <c r="W137">
        <f>SUM(W2:W79)</f>
        <v>33</v>
      </c>
      <c r="X137">
        <f>SUM(X2:X78)</f>
        <v>35</v>
      </c>
      <c r="Y137">
        <f>SUM(Y2:Y79)</f>
        <v>35</v>
      </c>
      <c r="Z137">
        <f>SUM(Z2:Z78)</f>
        <v>40</v>
      </c>
      <c r="AA137">
        <f>SUM(AA2:AA78)</f>
        <v>74</v>
      </c>
      <c r="AD137">
        <f>COUNT(A2:A78)</f>
        <v>77</v>
      </c>
      <c r="AE137">
        <f>SUM(AE2:AE79)</f>
        <v>7</v>
      </c>
      <c r="AF137">
        <f>SUM(AF2:AF79)</f>
        <v>63</v>
      </c>
      <c r="AG137" t="str">
        <f>IF(AF137,E80,"")</f>
        <v>ashurytahan2025mightytorrbenchmarktable</v>
      </c>
      <c r="AH137" t="str">
        <f>IF(W137,E80,"")</f>
        <v>ashurytahan2025mightytorrbenchmarktable</v>
      </c>
      <c r="AI137" t="str">
        <f>IF(Y137,E80,"")</f>
        <v>ashurytahan2025mightytorrbenchmarktable</v>
      </c>
      <c r="AJ137" t="str">
        <f>IF(AE137,E80,"")</f>
        <v>ashurytahan2025mightytorrbenchmarktable</v>
      </c>
    </row>
    <row r="138" spans="7:36">
      <c r="G138" s="1" t="s">
        <v>180</v>
      </c>
      <c r="H138" s="7">
        <f t="shared" ref="H138:AA138" si="31">H137/$AD$137</f>
        <v>1</v>
      </c>
      <c r="I138" s="7">
        <f t="shared" si="31"/>
        <v>7.792207792207792E-2</v>
      </c>
      <c r="J138" s="7">
        <f t="shared" si="31"/>
        <v>6.4935064935064929E-2</v>
      </c>
      <c r="K138" s="7">
        <f t="shared" si="31"/>
        <v>0.14285714285714285</v>
      </c>
      <c r="L138" s="7">
        <f t="shared" si="31"/>
        <v>2.5974025974025976E-2</v>
      </c>
      <c r="M138" s="7">
        <f t="shared" si="31"/>
        <v>5.1948051948051951E-2</v>
      </c>
      <c r="N138" s="7">
        <f t="shared" si="31"/>
        <v>5.1948051948051951E-2</v>
      </c>
      <c r="O138" s="7">
        <f t="shared" si="31"/>
        <v>0.50649350649350644</v>
      </c>
      <c r="P138" s="7">
        <f t="shared" si="31"/>
        <v>0.54545454545454541</v>
      </c>
      <c r="Q138" s="7">
        <f t="shared" si="31"/>
        <v>0.55844155844155841</v>
      </c>
      <c r="R138" s="7">
        <f t="shared" si="31"/>
        <v>0.27272727272727271</v>
      </c>
      <c r="S138" s="7">
        <f t="shared" si="31"/>
        <v>0.41558441558441561</v>
      </c>
      <c r="T138" s="7">
        <f t="shared" si="31"/>
        <v>0.51948051948051943</v>
      </c>
      <c r="U138" s="7">
        <f t="shared" si="31"/>
        <v>0.19480519480519481</v>
      </c>
      <c r="V138" s="7">
        <f t="shared" si="31"/>
        <v>0.40259740259740262</v>
      </c>
      <c r="W138" s="7">
        <f t="shared" si="31"/>
        <v>0.42857142857142855</v>
      </c>
      <c r="X138" s="7">
        <f t="shared" si="31"/>
        <v>0.45454545454545453</v>
      </c>
      <c r="Y138" s="7">
        <f t="shared" si="31"/>
        <v>0.45454545454545453</v>
      </c>
      <c r="Z138" s="7">
        <f t="shared" si="31"/>
        <v>0.51948051948051943</v>
      </c>
      <c r="AA138" s="7">
        <f t="shared" si="31"/>
        <v>0.96103896103896103</v>
      </c>
      <c r="AB138" s="7"/>
      <c r="AC138" s="7"/>
      <c r="AD138">
        <f>COUNT(A3:A80)</f>
        <v>78</v>
      </c>
      <c r="AG138" t="str">
        <f>IF(AF138,#REF!,"")</f>
        <v/>
      </c>
      <c r="AH138" t="e">
        <f>IF(W138,#REF!,"")</f>
        <v>#REF!</v>
      </c>
      <c r="AI138" t="e">
        <f>IF(Y138,#REF!,"")</f>
        <v>#REF!</v>
      </c>
      <c r="AJ138" t="str">
        <f>IF(AE138,#REF!,"")</f>
        <v/>
      </c>
    </row>
  </sheetData>
  <autoFilter ref="A1:AK78" xr:uid="{92277768-849A-7540-AC05-5E1BE041CC8E}"/>
  <conditionalFormatting sqref="B2:B1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C67" r:id="rId1" display="https://openreview.net/forum?id=rcFyU93Oa7&amp;referrer=%5BAuthor%20Console%5D(%2Fgroup%3Fid%3DEMNLP%2F2023%2FConference%2FAuthors%23your-submissions)" xr:uid="{36DE9BCE-B329-EF4F-BF26-0613BBDF3875}"/>
    <hyperlink ref="C66" r:id="rId2" display="https://osf.io/preprints/psyarxiv/rfwgd" xr:uid="{448B3646-CCB8-AB4B-BA0F-608838FF6ACB}"/>
    <hyperlink ref="C65" r:id="rId3" display="https://arxiv.org/abs/2407.00066" xr:uid="{77823A27-4449-CF4F-836B-C6C2E2EE6E08}"/>
    <hyperlink ref="C64" r:id="rId4" display="https://arxiv.org/abs/2407.13696" xr:uid="{FF745191-7E81-5A44-8BBD-41D13BC4886E}"/>
    <hyperlink ref="C63" r:id="rId5" display="https://arxiv.org/abs/2407.10944" xr:uid="{5B62354F-6603-7A4E-9016-BF70D76869CA}"/>
    <hyperlink ref="C62" r:id="rId6" display="https://arxiv.org/abs/2408.08291" xr:uid="{499BD698-B41F-E146-AE20-ACDD3E4E8B61}"/>
    <hyperlink ref="C61" r:id="rId7" display="https://scholar.google.com/citations?view_op=view_citation&amp;hl=en&amp;user=8b8IhUYAAAAJ&amp;sortby=pubdate&amp;citation_for_view=8b8IhUYAAAAJ:3s1wT3WcHBgC" xr:uid="{751B12EE-6336-EF4C-9E7C-2B4F4AFFA013}"/>
    <hyperlink ref="C60" r:id="rId8" display="https://scholar.google.com/citations?view_op=view_citation&amp;hl=en&amp;user=8b8IhUYAAAAJ&amp;sortby=pubdate&amp;citation_for_view=8b8IhUYAAAAJ:ZHo1McVdvXMC" xr:uid="{4EB5E467-26A5-B140-A3D0-CDA798F8A44E}"/>
    <hyperlink ref="C59" r:id="rId9" display="https://arxiv.org/abs/2404.15198" xr:uid="{65499EF7-1859-F94F-A2CB-E2D5ECFEE893}"/>
    <hyperlink ref="C58" r:id="rId10" display="https://arxiv.org/abs/2404.00459" xr:uid="{9DE0CFA8-285D-584C-89FC-BF9B61BB648C}"/>
    <hyperlink ref="C57" r:id="rId11" display="https://arxiv.org/abs/2405.17202" xr:uid="{7BFE7040-FED6-6749-ABB0-2C3312E409CE}"/>
    <hyperlink ref="C56" r:id="rId12" display="https://arxiv.org/abs/2405.09605" xr:uid="{7FD1A3D2-678B-B244-B742-867BBFF808F3}"/>
    <hyperlink ref="C55" r:id="rId13" display="https://arxiv.org/abs/2408.07057" xr:uid="{302E5A1F-BA4F-9B4B-A05A-CE12B5B16339}"/>
    <hyperlink ref="C54" r:id="rId14" display="https://arxiv.org/abs/2402.07891" xr:uid="{13CDBBE1-0233-8A4B-BD80-E921D8F7D968}"/>
    <hyperlink ref="C53" r:id="rId15" display="https://arxiv.org/abs/2401.14019" xr:uid="{66EC23D7-6BC1-414D-A028-4FD5EF581998}"/>
    <hyperlink ref="C52" r:id="rId16" display="https://arxiv.org/abs/2404.18923" xr:uid="{FD0A0BFD-D25D-7D44-9B7C-7957C0C1F00E}"/>
    <hyperlink ref="C51" r:id="rId17" display="https://arxiv.org/abs/2402.14992" xr:uid="{12A88DCB-808A-BA46-8394-A4B00A7C10DD}"/>
    <hyperlink ref="C50" r:id="rId18" display="https://arxiv.org/abs/2402.16842" xr:uid="{47A9001D-36BD-9E4B-BDBC-49A939C19E7B}"/>
    <hyperlink ref="C46" r:id="rId19" display="https://scholar.google.co.il/citations?view_op=view_citation&amp;hl=ar&amp;user=n9iywfAAAAAJ&amp;citation_for_view=n9iywfAAAAAJ:Y0pCki6q_DkC" xr:uid="{567A6C68-890C-AB46-830E-E20840835F53}"/>
    <hyperlink ref="C43" r:id="rId20" display="https://arxiv.org/abs/2407.21530" xr:uid="{A3F52119-7320-2B42-BF77-12FA58F1B05D}"/>
    <hyperlink ref="C42" r:id="rId21" display="https://openreview.net/forum?id=jvNVmkGxiU&amp;referrer=%5BAuthor%20Console%5D(%2Fgroup%3Fid%3DEMNLP%2F2023%2FConference%2FAuthors%23your-submissions)" xr:uid="{21813A33-7A39-5C49-946D-CC3551C97E84}"/>
    <hyperlink ref="C26" r:id="rId22" display="https://scholar.google.com/citations?view_op=view_citation&amp;hl=en&amp;user=8b8IhUYAAAAJ&amp;sortby=pubdate&amp;citation_for_view=8b8IhUYAAAAJ:qxL8FJ1GzNcC" xr:uid="{192E51CE-E2ED-DE41-8F77-06191D746E55}"/>
    <hyperlink ref="C24" r:id="rId23" display="https://arxiv.org/abs/2204.03044" xr:uid="{4E40DE16-47D9-9B46-AD6B-EAF08BD5499D}"/>
    <hyperlink ref="C23" r:id="rId24" display="https://scholar.google.com/citations?view_op=view_citation&amp;hl=en&amp;user=8b8IhUYAAAAJ&amp;sortby=pubdate&amp;citation_for_view=8b8IhUYAAAAJ:YOwf2qJgpHMC" xr:uid="{75D6349F-8FA4-6C4D-BD34-A925AA511834}"/>
    <hyperlink ref="C22" r:id="rId25" display="https://scholar.google.com/citations?view_op=view_citation&amp;hl=en&amp;user=8b8IhUYAAAAJ&amp;sortby=pubdate&amp;citation_for_view=8b8IhUYAAAAJ:ULOm3_A8WrAC" xr:uid="{3DB81EA8-85E2-E941-993A-4A4DC7C91616}"/>
    <hyperlink ref="C14" r:id="rId26" display="https://openreview.net/profile?email=leshem.choshen%40mail.huji.ac.il" xr:uid="{7971BD86-BA29-2E4F-9E72-BC26BB16A226}"/>
    <hyperlink ref="D69" r:id="rId27" display="https://scholar.google.com/citations?view_op=view_citation&amp;hl=en&amp;user=8b8IhUYAAAAJ&amp;sortby=pubdate&amp;citation_for_view=8b8IhUYAAAAJ:zA6iFVUQeVQC" xr:uid="{2CFAF4D0-B6AD-A447-8D31-56546E629E95}"/>
    <hyperlink ref="D70" r:id="rId28" display="https://scholar.google.com/citations?view_op=view_citation&amp;hl=en&amp;user=8b8IhUYAAAAJ&amp;cstart=20&amp;pagesize=80&amp;citation_for_view=8b8IhUYAAAAJ:j3f4tGmQtD8C" xr:uid="{F8CF4418-726D-9F4B-BC37-8F87A17DB37F}"/>
    <hyperlink ref="D75" r:id="rId29" display="https://arxiv.org/abs/2407.13696" xr:uid="{CAC1030E-605E-3243-BAFB-A21CA4CAA2D9}"/>
    <hyperlink ref="D56" r:id="rId30" display="https://arxiv.org/abs/2405.09605" xr:uid="{C3C84E8C-7AAE-084C-A060-AD9E30222D16}"/>
    <hyperlink ref="D78" r:id="rId31" display="https://scholar.google.com/citations?view_op=view_citation&amp;hl=en&amp;user=8b8IhUYAAAAJ&amp;cstart=20&amp;pagesize=80&amp;sortby=pubdate&amp;citation_for_view=8b8IhUYAAAAJ:HoB7MX3m0LUC" xr:uid="{D6C63C38-0360-FE4D-A8CE-F19FB4456A7A}"/>
    <hyperlink ref="D32" r:id="rId32" display="https://scholar.google.co.il/citations?view_op=view_citation&amp;hl=ar&amp;user=8b8IhUYAAAAJ&amp;cstart=20&amp;pagesize=80&amp;citation_for_view=8b8IhUYAAAAJ:9ZlFYXVOiuMC" xr:uid="{5C6BB536-865C-864D-A49B-08368EA71CF0}"/>
    <hyperlink ref="D77" r:id="rId33" display="https://scholar.google.com/citations?view_op=view_citation&amp;hl=en&amp;user=8b8IhUYAAAAJ&amp;sortby=pubdate&amp;citation_for_view=8b8IhUYAAAAJ:D03iK_w7-QYC" xr:uid="{E649EFAE-2268-EC44-9CD5-B86FA4EEEF56}"/>
    <hyperlink ref="D80" r:id="rId34" display="https://scholar.google.com/citations?view_op=view_citation&amp;hl=en&amp;user=8b8IhUYAAAAJ&amp;sortby=pubdate&amp;citation_for_view=8b8IhUYAAAAJ:abG-DnoFyZgC" xr:uid="{26F5DB36-0DD4-6544-9BD0-A7594E86CA7F}"/>
    <hyperlink ref="D81" r:id="rId35" display="https://scholar.google.com/citations?view_op=view_citation&amp;hl=en&amp;user=8b8IhUYAAAAJ&amp;sortby=pubdate&amp;citation_for_view=8b8IhUYAAAAJ:xtRiw3GOFMkC" xr:uid="{517FF612-4C9E-1D43-B142-762AE0CC7E04}"/>
    <hyperlink ref="D82" r:id="rId36" display="https://scholar.google.com/citations?view_op=view_citation&amp;hl=en&amp;user=8b8IhUYAAAAJ&amp;sortby=pubdate&amp;citation_for_view=8b8IhUYAAAAJ:1sJd4Hv_s6UC" xr:uid="{F8C7D4D7-F151-4C4A-9796-901E247F3454}"/>
    <hyperlink ref="D83" r:id="rId37" display="https://scholar.google.com/citations?view_op=view_citation&amp;hl=en&amp;user=8b8IhUYAAAAJ&amp;sortby=pubdate&amp;citation_for_view=8b8IhUYAAAAJ:nb7KW1ujOQ8C" xr:uid="{6978054C-919B-954F-99C9-C0A99EDAB68C}"/>
    <hyperlink ref="D84" r:id="rId38" display="https://scholar.google.com/citations?view_op=view_citation&amp;hl=en&amp;user=8b8IhUYAAAAJ&amp;sortby=pubdate&amp;citation_for_view=8b8IhUYAAAAJ:P5F9QuxV20EC" xr:uid="{CDFCCD5F-21F7-A548-93D5-79D234DCFB1C}"/>
    <hyperlink ref="D85" r:id="rId39" display="https://scholar.google.com/citations?view_op=view_citation&amp;hl=en&amp;user=8b8IhUYAAAAJ&amp;sortby=pubdate&amp;citation_for_view=8b8IhUYAAAAJ:KxtntwgDAa4C" xr:uid="{AE4CF449-553F-1242-904F-6E10A5A95657}"/>
    <hyperlink ref="D86" r:id="rId40" display="https://scholar.google.com/citations?view_op=view_citation&amp;hl=en&amp;user=8b8IhUYAAAAJ&amp;sortby=pubdate&amp;citation_for_view=8b8IhUYAAAAJ:dshw04ExmUIC" xr:uid="{D582A0B1-2DED-D945-89BD-99671DF5F3C5}"/>
    <hyperlink ref="D87" r:id="rId41" display="https://scholar.google.com/citations?view_op=view_citation&amp;hl=en&amp;user=8b8IhUYAAAAJ&amp;sortby=pubdate&amp;citation_for_view=8b8IhUYAAAAJ:cFHS6HbyZ2cC" xr:uid="{012D4D4B-F7DB-534F-929E-F3980EB01887}"/>
    <hyperlink ref="D89" r:id="rId42" display="https://scholar.google.com/citations?view_op=view_citation&amp;hl=en&amp;user=8b8IhUYAAAAJ&amp;sortby=pubdate&amp;citation_for_view=8b8IhUYAAAAJ:OU6Ihb5iCvQC" xr:uid="{83F89CA5-9C53-454A-82C0-5B114240419E}"/>
    <hyperlink ref="D88" r:id="rId43" display="https://scholar.google.com/citations?view_op=view_citation&amp;hl=en&amp;user=8b8IhUYAAAAJ&amp;sortby=pubdate&amp;citation_for_view=8b8IhUYAAAAJ:p2g8aNsByqUC" xr:uid="{F1C14A89-89CC-4F40-8425-EE9E1FA18475}"/>
    <hyperlink ref="D90" r:id="rId44" display="https://scholar.google.com/citations?view_op=view_citation&amp;hl=en&amp;user=8b8IhUYAAAAJ&amp;sortby=pubdate&amp;citation_for_view=8b8IhUYAAAAJ:738O_yMBCRsC" xr:uid="{7F06036E-46CB-7B4A-B5A9-01BD9FEB494D}"/>
    <hyperlink ref="D91" r:id="rId45" display="https://scholar.google.com/citations?view_op=view_citation&amp;hl=en&amp;user=8b8IhUYAAAAJ&amp;sortby=pubdate&amp;citation_for_view=8b8IhUYAAAAJ:K3LRdlH-MEoC" xr:uid="{E3BF1F50-9A61-BD47-80DD-3E7FA5F51488}"/>
    <hyperlink ref="D92" r:id="rId46" display="https://scholar.google.com/citations?view_op=view_citation&amp;hl=en&amp;user=8b8IhUYAAAAJ&amp;sortby=pubdate&amp;citation_for_view=8b8IhUYAAAAJ:tOudhMTPpwUC" xr:uid="{A1EF67F5-E28E-A14D-A57D-7545932AF158}"/>
    <hyperlink ref="C92" r:id="rId47" display="BabyLM@EMNLP" xr:uid="{D8DDEF9E-B21E-CD40-A406-DFC0EB019B6A}"/>
    <hyperlink ref="D93" r:id="rId48" display="https://scholar.google.com/citations?view_op=view_citation&amp;hl=en&amp;user=8b8IhUYAAAAJ&amp;sortby=pubdate&amp;citation_for_view=8b8IhUYAAAAJ:4fKUyHm3Qg0C" xr:uid="{63AC3719-785D-4045-842F-51673617DEA4}"/>
    <hyperlink ref="D95" r:id="rId49" display="https://scholar.google.com/citations?view_op=view_citation&amp;hl=en&amp;user=8b8IhUYAAAAJ&amp;sortby=pubdate&amp;citation_for_view=8b8IhUYAAAAJ:B3FOqHPlNUQC" xr:uid="{4655ADB8-FEB9-6148-99F7-03736D7EB3B9}"/>
    <hyperlink ref="D96" r:id="rId50" display="https://scholar.google.com/citations?view_op=view_citation&amp;hl=en&amp;user=8b8IhUYAAAAJ&amp;sortby=pubdate&amp;citation_for_view=8b8IhUYAAAAJ:sSrBHYA8nusC" xr:uid="{94FB61E5-5F04-5645-A99F-119289B9E81D}"/>
    <hyperlink ref="D97" r:id="rId51" display="https://scholar.google.com/citations?view_op=view_citation&amp;hl=en&amp;user=8b8IhUYAAAAJ&amp;sortby=pubdate&amp;citation_for_view=8b8IhUYAAAAJ:5Ul4iDaHHb8C" xr:uid="{AC018292-7C41-B947-89FB-2E8002093149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1D25-D8AA-FE48-9789-4FAAE621EBE0}">
  <dimension ref="A1:Q72"/>
  <sheetViews>
    <sheetView workbookViewId="0">
      <selection activeCell="F1" sqref="F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F3+Sheet1!O2</f>
        <v>#REF!</v>
      </c>
      <c r="G2" t="e">
        <f>G3+Sheet1!P2</f>
        <v>#REF!</v>
      </c>
      <c r="H2" t="e">
        <f>H3+Sheet1!Q2</f>
        <v>#REF!</v>
      </c>
      <c r="I2" t="e">
        <f>I3+Sheet1!R2</f>
        <v>#REF!</v>
      </c>
      <c r="J2" t="e">
        <f>J3+Sheet1!S2</f>
        <v>#REF!</v>
      </c>
      <c r="K2" t="e">
        <f>K3+Sheet1!T2</f>
        <v>#REF!</v>
      </c>
      <c r="L2" t="e">
        <f>L3+Sheet1!U2</f>
        <v>#REF!</v>
      </c>
      <c r="M2" t="e">
        <f>M3+Sheet1!V2</f>
        <v>#REF!</v>
      </c>
      <c r="N2" t="e">
        <f>N3+Sheet1!W2</f>
        <v>#REF!</v>
      </c>
      <c r="O2" t="e">
        <f>O3+Sheet1!X2</f>
        <v>#REF!</v>
      </c>
      <c r="P2" t="e">
        <f>P3+Sheet1!Y2</f>
        <v>#REF!</v>
      </c>
      <c r="Q2" t="e">
        <f>Q3+Sheet1!Z2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F4+Sheet1!O3</f>
        <v>#REF!</v>
      </c>
      <c r="G3" t="e">
        <f>G4+Sheet1!P3</f>
        <v>#REF!</v>
      </c>
      <c r="H3" t="e">
        <f>H4+Sheet1!Q3</f>
        <v>#REF!</v>
      </c>
      <c r="I3" t="e">
        <f>I4+Sheet1!R3</f>
        <v>#REF!</v>
      </c>
      <c r="J3" t="e">
        <f>J4+Sheet1!S3</f>
        <v>#REF!</v>
      </c>
      <c r="K3" t="e">
        <f>K4+Sheet1!T3</f>
        <v>#REF!</v>
      </c>
      <c r="L3" t="e">
        <f>L4+Sheet1!U3</f>
        <v>#REF!</v>
      </c>
      <c r="M3" t="e">
        <f>M4+Sheet1!V3</f>
        <v>#REF!</v>
      </c>
      <c r="N3" t="e">
        <f>N4+Sheet1!W3</f>
        <v>#REF!</v>
      </c>
      <c r="O3" t="e">
        <f>O4+Sheet1!X3</f>
        <v>#REF!</v>
      </c>
      <c r="P3" t="e">
        <f>P4+Sheet1!Y3</f>
        <v>#REF!</v>
      </c>
      <c r="Q3" t="e">
        <f>Q4+Sheet1!Z3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F5+Sheet1!O4</f>
        <v>#REF!</v>
      </c>
      <c r="G4" t="e">
        <f>G5+Sheet1!P4</f>
        <v>#REF!</v>
      </c>
      <c r="H4" t="e">
        <f>H5+Sheet1!Q4</f>
        <v>#REF!</v>
      </c>
      <c r="I4" t="e">
        <f>I5+Sheet1!R4</f>
        <v>#REF!</v>
      </c>
      <c r="J4" t="e">
        <f>J5+Sheet1!S4</f>
        <v>#REF!</v>
      </c>
      <c r="K4" t="e">
        <f>K5+Sheet1!T4</f>
        <v>#REF!</v>
      </c>
      <c r="L4" t="e">
        <f>L5+Sheet1!U4</f>
        <v>#REF!</v>
      </c>
      <c r="M4" t="e">
        <f>M5+Sheet1!V4</f>
        <v>#REF!</v>
      </c>
      <c r="N4" t="e">
        <f>N5+Sheet1!W4</f>
        <v>#REF!</v>
      </c>
      <c r="O4" t="e">
        <f>O5+Sheet1!X4</f>
        <v>#REF!</v>
      </c>
      <c r="P4" t="e">
        <f>P5+Sheet1!Y4</f>
        <v>#REF!</v>
      </c>
      <c r="Q4" t="e">
        <f>Q5+Sheet1!Z4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F6+Sheet1!O5</f>
        <v>#REF!</v>
      </c>
      <c r="G5" t="e">
        <f>G6+Sheet1!P5</f>
        <v>#REF!</v>
      </c>
      <c r="H5" t="e">
        <f>H6+Sheet1!Q5</f>
        <v>#REF!</v>
      </c>
      <c r="I5" t="e">
        <f>I6+Sheet1!R5</f>
        <v>#REF!</v>
      </c>
      <c r="J5" t="e">
        <f>J6+Sheet1!S5</f>
        <v>#REF!</v>
      </c>
      <c r="K5" t="e">
        <f>K6+Sheet1!T5</f>
        <v>#REF!</v>
      </c>
      <c r="L5" t="e">
        <f>L6+Sheet1!U5</f>
        <v>#REF!</v>
      </c>
      <c r="M5" t="e">
        <f>M6+Sheet1!V5</f>
        <v>#REF!</v>
      </c>
      <c r="N5" t="e">
        <f>N6+Sheet1!W5</f>
        <v>#REF!</v>
      </c>
      <c r="O5" t="e">
        <f>O6+Sheet1!X5</f>
        <v>#REF!</v>
      </c>
      <c r="P5" t="e">
        <f>P6+Sheet1!Y5</f>
        <v>#REF!</v>
      </c>
      <c r="Q5" t="e">
        <f>Q6+Sheet1!Z5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F7+Sheet1!O6</f>
        <v>#REF!</v>
      </c>
      <c r="G6" t="e">
        <f>G7+Sheet1!P6</f>
        <v>#REF!</v>
      </c>
      <c r="H6" t="e">
        <f>H7+Sheet1!Q6</f>
        <v>#REF!</v>
      </c>
      <c r="I6" t="e">
        <f>I7+Sheet1!R6</f>
        <v>#REF!</v>
      </c>
      <c r="J6" t="e">
        <f>J7+Sheet1!S6</f>
        <v>#REF!</v>
      </c>
      <c r="K6" t="e">
        <f>K7+Sheet1!T6</f>
        <v>#REF!</v>
      </c>
      <c r="L6" t="e">
        <f>L7+Sheet1!U6</f>
        <v>#REF!</v>
      </c>
      <c r="M6" t="e">
        <f>M7+Sheet1!V6</f>
        <v>#REF!</v>
      </c>
      <c r="N6" t="e">
        <f>N7+Sheet1!W6</f>
        <v>#REF!</v>
      </c>
      <c r="O6" t="e">
        <f>O7+Sheet1!X6</f>
        <v>#REF!</v>
      </c>
      <c r="P6" t="e">
        <f>P7+Sheet1!Y6</f>
        <v>#REF!</v>
      </c>
      <c r="Q6" t="e">
        <f>Q7+Sheet1!Z6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F8+Sheet1!O7</f>
        <v>#REF!</v>
      </c>
      <c r="G7" t="e">
        <f>G8+Sheet1!P7</f>
        <v>#REF!</v>
      </c>
      <c r="H7" t="e">
        <f>H8+Sheet1!Q7</f>
        <v>#REF!</v>
      </c>
      <c r="I7" t="e">
        <f>I8+Sheet1!R7</f>
        <v>#REF!</v>
      </c>
      <c r="J7" t="e">
        <f>J8+Sheet1!S7</f>
        <v>#REF!</v>
      </c>
      <c r="K7" t="e">
        <f>K8+Sheet1!T7</f>
        <v>#REF!</v>
      </c>
      <c r="L7" t="e">
        <f>L8+Sheet1!U7</f>
        <v>#REF!</v>
      </c>
      <c r="M7" t="e">
        <f>M8+Sheet1!V7</f>
        <v>#REF!</v>
      </c>
      <c r="N7" t="e">
        <f>N8+Sheet1!W7</f>
        <v>#REF!</v>
      </c>
      <c r="O7" t="e">
        <f>O8+Sheet1!X7</f>
        <v>#REF!</v>
      </c>
      <c r="P7" t="e">
        <f>P8+Sheet1!Y7</f>
        <v>#REF!</v>
      </c>
      <c r="Q7" t="e">
        <f>Q8+Sheet1!Z7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F9+Sheet1!O8</f>
        <v>#REF!</v>
      </c>
      <c r="G8" t="e">
        <f>G9+Sheet1!P8</f>
        <v>#REF!</v>
      </c>
      <c r="H8" t="e">
        <f>H9+Sheet1!Q8</f>
        <v>#REF!</v>
      </c>
      <c r="I8" t="e">
        <f>I9+Sheet1!R8</f>
        <v>#REF!</v>
      </c>
      <c r="J8" t="e">
        <f>J9+Sheet1!S8</f>
        <v>#REF!</v>
      </c>
      <c r="K8" t="e">
        <f>K9+Sheet1!T8</f>
        <v>#REF!</v>
      </c>
      <c r="L8" t="e">
        <f>L9+Sheet1!U8</f>
        <v>#REF!</v>
      </c>
      <c r="M8" t="e">
        <f>M9+Sheet1!V8</f>
        <v>#REF!</v>
      </c>
      <c r="N8" t="e">
        <f>N9+Sheet1!W8</f>
        <v>#REF!</v>
      </c>
      <c r="O8" t="e">
        <f>O9+Sheet1!X8</f>
        <v>#REF!</v>
      </c>
      <c r="P8" t="e">
        <f>P9+Sheet1!Y8</f>
        <v>#REF!</v>
      </c>
      <c r="Q8" t="e">
        <f>Q9+Sheet1!Z8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F10+Sheet1!O9</f>
        <v>#REF!</v>
      </c>
      <c r="G9" t="e">
        <f>G10+Sheet1!P9</f>
        <v>#REF!</v>
      </c>
      <c r="H9" t="e">
        <f>H10+Sheet1!Q9</f>
        <v>#REF!</v>
      </c>
      <c r="I9" t="e">
        <f>I10+Sheet1!R9</f>
        <v>#REF!</v>
      </c>
      <c r="J9" t="e">
        <f>J10+Sheet1!S9</f>
        <v>#REF!</v>
      </c>
      <c r="K9" t="e">
        <f>K10+Sheet1!T9</f>
        <v>#REF!</v>
      </c>
      <c r="L9" t="e">
        <f>L10+Sheet1!U9</f>
        <v>#REF!</v>
      </c>
      <c r="M9" t="e">
        <f>M10+Sheet1!V9</f>
        <v>#REF!</v>
      </c>
      <c r="N9" t="e">
        <f>N10+Sheet1!W9</f>
        <v>#REF!</v>
      </c>
      <c r="O9" t="e">
        <f>O10+Sheet1!X9</f>
        <v>#REF!</v>
      </c>
      <c r="P9" t="e">
        <f>P10+Sheet1!Y9</f>
        <v>#REF!</v>
      </c>
      <c r="Q9" t="e">
        <f>Q10+Sheet1!Z9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F11+Sheet1!O10</f>
        <v>#REF!</v>
      </c>
      <c r="G10" t="e">
        <f>G11+Sheet1!P10</f>
        <v>#REF!</v>
      </c>
      <c r="H10" t="e">
        <f>H11+Sheet1!Q10</f>
        <v>#REF!</v>
      </c>
      <c r="I10" t="e">
        <f>I11+Sheet1!R10</f>
        <v>#REF!</v>
      </c>
      <c r="J10" t="e">
        <f>J11+Sheet1!S10</f>
        <v>#REF!</v>
      </c>
      <c r="K10" t="e">
        <f>K11+Sheet1!T10</f>
        <v>#REF!</v>
      </c>
      <c r="L10" t="e">
        <f>L11+Sheet1!U10</f>
        <v>#REF!</v>
      </c>
      <c r="M10" t="e">
        <f>M11+Sheet1!V10</f>
        <v>#REF!</v>
      </c>
      <c r="N10" t="e">
        <f>N11+Sheet1!W10</f>
        <v>#REF!</v>
      </c>
      <c r="O10" t="e">
        <f>O11+Sheet1!X10</f>
        <v>#REF!</v>
      </c>
      <c r="P10" t="e">
        <f>P11+Sheet1!Y10</f>
        <v>#REF!</v>
      </c>
      <c r="Q10" t="e">
        <f>Q11+Sheet1!Z10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F12+Sheet1!O11</f>
        <v>#REF!</v>
      </c>
      <c r="G11" t="e">
        <f>G12+Sheet1!P11</f>
        <v>#REF!</v>
      </c>
      <c r="H11" t="e">
        <f>H12+Sheet1!Q11</f>
        <v>#REF!</v>
      </c>
      <c r="I11" t="e">
        <f>I12+Sheet1!R11</f>
        <v>#REF!</v>
      </c>
      <c r="J11" t="e">
        <f>J12+Sheet1!S11</f>
        <v>#REF!</v>
      </c>
      <c r="K11" t="e">
        <f>K12+Sheet1!T11</f>
        <v>#REF!</v>
      </c>
      <c r="L11" t="e">
        <f>L12+Sheet1!U11</f>
        <v>#REF!</v>
      </c>
      <c r="M11" t="e">
        <f>M12+Sheet1!V11</f>
        <v>#REF!</v>
      </c>
      <c r="N11" t="e">
        <f>N12+Sheet1!W11</f>
        <v>#REF!</v>
      </c>
      <c r="O11" t="e">
        <f>O12+Sheet1!X11</f>
        <v>#REF!</v>
      </c>
      <c r="P11" t="e">
        <f>P12+Sheet1!Y11</f>
        <v>#REF!</v>
      </c>
      <c r="Q11" t="e">
        <f>Q12+Sheet1!Z11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F13+Sheet1!O12</f>
        <v>#REF!</v>
      </c>
      <c r="G12" t="e">
        <f>G13+Sheet1!P12</f>
        <v>#REF!</v>
      </c>
      <c r="H12" t="e">
        <f>H13+Sheet1!Q12</f>
        <v>#REF!</v>
      </c>
      <c r="I12" t="e">
        <f>I13+Sheet1!R12</f>
        <v>#REF!</v>
      </c>
      <c r="J12" t="e">
        <f>J13+Sheet1!S12</f>
        <v>#REF!</v>
      </c>
      <c r="K12" t="e">
        <f>K13+Sheet1!T12</f>
        <v>#REF!</v>
      </c>
      <c r="L12" t="e">
        <f>L13+Sheet1!U12</f>
        <v>#REF!</v>
      </c>
      <c r="M12" t="e">
        <f>M13+Sheet1!V12</f>
        <v>#REF!</v>
      </c>
      <c r="N12" t="e">
        <f>N13+Sheet1!W12</f>
        <v>#REF!</v>
      </c>
      <c r="O12" t="e">
        <f>O13+Sheet1!X12</f>
        <v>#REF!</v>
      </c>
      <c r="P12" t="e">
        <f>P13+Sheet1!Y12</f>
        <v>#REF!</v>
      </c>
      <c r="Q12" t="e">
        <f>Q13+Sheet1!Z12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F14+Sheet1!O13</f>
        <v>#REF!</v>
      </c>
      <c r="G13" t="e">
        <f>G14+Sheet1!P13</f>
        <v>#REF!</v>
      </c>
      <c r="H13" t="e">
        <f>H14+Sheet1!Q13</f>
        <v>#REF!</v>
      </c>
      <c r="I13" t="e">
        <f>I14+Sheet1!R13</f>
        <v>#REF!</v>
      </c>
      <c r="J13" t="e">
        <f>J14+Sheet1!S13</f>
        <v>#REF!</v>
      </c>
      <c r="K13" t="e">
        <f>K14+Sheet1!T13</f>
        <v>#REF!</v>
      </c>
      <c r="L13" t="e">
        <f>L14+Sheet1!U13</f>
        <v>#REF!</v>
      </c>
      <c r="M13" t="e">
        <f>M14+Sheet1!V13</f>
        <v>#REF!</v>
      </c>
      <c r="N13" t="e">
        <f>N14+Sheet1!W13</f>
        <v>#REF!</v>
      </c>
      <c r="O13" t="e">
        <f>O14+Sheet1!X13</f>
        <v>#REF!</v>
      </c>
      <c r="P13" t="e">
        <f>P14+Sheet1!Y13</f>
        <v>#REF!</v>
      </c>
      <c r="Q13" t="e">
        <f>Q14+Sheet1!Z13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F15+Sheet1!O14</f>
        <v>#REF!</v>
      </c>
      <c r="G14" t="e">
        <f>G15+Sheet1!P14</f>
        <v>#REF!</v>
      </c>
      <c r="H14" t="e">
        <f>H15+Sheet1!Q14</f>
        <v>#REF!</v>
      </c>
      <c r="I14" t="e">
        <f>I15+Sheet1!R14</f>
        <v>#REF!</v>
      </c>
      <c r="J14" t="e">
        <f>J15+Sheet1!S14</f>
        <v>#REF!</v>
      </c>
      <c r="K14" t="e">
        <f>K15+Sheet1!T14</f>
        <v>#REF!</v>
      </c>
      <c r="L14" t="e">
        <f>L15+Sheet1!U14</f>
        <v>#REF!</v>
      </c>
      <c r="M14" t="e">
        <f>M15+Sheet1!V14</f>
        <v>#REF!</v>
      </c>
      <c r="N14" t="e">
        <f>N15+Sheet1!W14</f>
        <v>#REF!</v>
      </c>
      <c r="O14" t="e">
        <f>O15+Sheet1!X14</f>
        <v>#REF!</v>
      </c>
      <c r="P14" t="e">
        <f>P15+Sheet1!Y14</f>
        <v>#REF!</v>
      </c>
      <c r="Q14" t="e">
        <f>Q15+Sheet1!Z14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F16+Sheet1!O15</f>
        <v>#REF!</v>
      </c>
      <c r="G15" t="e">
        <f>G16+Sheet1!P15</f>
        <v>#REF!</v>
      </c>
      <c r="H15" t="e">
        <f>H16+Sheet1!Q15</f>
        <v>#REF!</v>
      </c>
      <c r="I15" t="e">
        <f>I16+Sheet1!R15</f>
        <v>#REF!</v>
      </c>
      <c r="J15" t="e">
        <f>J16+Sheet1!S15</f>
        <v>#REF!</v>
      </c>
      <c r="K15" t="e">
        <f>K16+Sheet1!T15</f>
        <v>#REF!</v>
      </c>
      <c r="L15" t="e">
        <f>L16+Sheet1!U15</f>
        <v>#REF!</v>
      </c>
      <c r="M15" t="e">
        <f>M16+Sheet1!V15</f>
        <v>#REF!</v>
      </c>
      <c r="N15" t="e">
        <f>N16+Sheet1!W15</f>
        <v>#REF!</v>
      </c>
      <c r="O15" t="e">
        <f>O16+Sheet1!X15</f>
        <v>#REF!</v>
      </c>
      <c r="P15" t="e">
        <f>P16+Sheet1!Y15</f>
        <v>#REF!</v>
      </c>
      <c r="Q15" t="e">
        <f>Q16+Sheet1!Z15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F17+Sheet1!O16</f>
        <v>#REF!</v>
      </c>
      <c r="G16" t="e">
        <f>G17+Sheet1!P16</f>
        <v>#REF!</v>
      </c>
      <c r="H16" t="e">
        <f>H17+Sheet1!Q16</f>
        <v>#REF!</v>
      </c>
      <c r="I16" t="e">
        <f>I17+Sheet1!R16</f>
        <v>#REF!</v>
      </c>
      <c r="J16" t="e">
        <f>J17+Sheet1!S16</f>
        <v>#REF!</v>
      </c>
      <c r="K16" t="e">
        <f>K17+Sheet1!T16</f>
        <v>#REF!</v>
      </c>
      <c r="L16" t="e">
        <f>L17+Sheet1!U16</f>
        <v>#REF!</v>
      </c>
      <c r="M16" t="e">
        <f>M17+Sheet1!V16</f>
        <v>#REF!</v>
      </c>
      <c r="N16" t="e">
        <f>N17+Sheet1!W16</f>
        <v>#REF!</v>
      </c>
      <c r="O16" t="e">
        <f>O17+Sheet1!X16</f>
        <v>#REF!</v>
      </c>
      <c r="P16" t="e">
        <f>P17+Sheet1!Y16</f>
        <v>#REF!</v>
      </c>
      <c r="Q16" t="e">
        <f>Q17+Sheet1!Z16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F18+Sheet1!O17</f>
        <v>#REF!</v>
      </c>
      <c r="G17" t="e">
        <f>G18+Sheet1!P17</f>
        <v>#REF!</v>
      </c>
      <c r="H17" t="e">
        <f>H18+Sheet1!Q17</f>
        <v>#REF!</v>
      </c>
      <c r="I17" t="e">
        <f>I18+Sheet1!R17</f>
        <v>#REF!</v>
      </c>
      <c r="J17" t="e">
        <f>J18+Sheet1!S17</f>
        <v>#REF!</v>
      </c>
      <c r="K17" t="e">
        <f>K18+Sheet1!T17</f>
        <v>#REF!</v>
      </c>
      <c r="L17" t="e">
        <f>L18+Sheet1!U17</f>
        <v>#REF!</v>
      </c>
      <c r="M17" t="e">
        <f>M18+Sheet1!V17</f>
        <v>#REF!</v>
      </c>
      <c r="N17" t="e">
        <f>N18+Sheet1!W17</f>
        <v>#REF!</v>
      </c>
      <c r="O17" t="e">
        <f>O18+Sheet1!X17</f>
        <v>#REF!</v>
      </c>
      <c r="P17" t="e">
        <f>P18+Sheet1!Y17</f>
        <v>#REF!</v>
      </c>
      <c r="Q17" t="e">
        <f>Q18+Sheet1!Z17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F19+Sheet1!O18</f>
        <v>#REF!</v>
      </c>
      <c r="G18" t="e">
        <f>G19+Sheet1!P18</f>
        <v>#REF!</v>
      </c>
      <c r="H18" t="e">
        <f>H19+Sheet1!Q18</f>
        <v>#REF!</v>
      </c>
      <c r="I18" t="e">
        <f>I19+Sheet1!R18</f>
        <v>#REF!</v>
      </c>
      <c r="J18" t="e">
        <f>J19+Sheet1!S18</f>
        <v>#REF!</v>
      </c>
      <c r="K18" t="e">
        <f>K19+Sheet1!T18</f>
        <v>#REF!</v>
      </c>
      <c r="L18" t="e">
        <f>L19+Sheet1!U18</f>
        <v>#REF!</v>
      </c>
      <c r="M18" t="e">
        <f>M19+Sheet1!V18</f>
        <v>#REF!</v>
      </c>
      <c r="N18" t="e">
        <f>N19+Sheet1!W18</f>
        <v>#REF!</v>
      </c>
      <c r="O18" t="e">
        <f>O19+Sheet1!X18</f>
        <v>#REF!</v>
      </c>
      <c r="P18" t="e">
        <f>P19+Sheet1!Y18</f>
        <v>#REF!</v>
      </c>
      <c r="Q18" t="e">
        <f>Q19+Sheet1!Z18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F20+Sheet1!O19</f>
        <v>#REF!</v>
      </c>
      <c r="G19" t="e">
        <f>G20+Sheet1!P19</f>
        <v>#REF!</v>
      </c>
      <c r="H19" t="e">
        <f>H20+Sheet1!Q19</f>
        <v>#REF!</v>
      </c>
      <c r="I19" t="e">
        <f>I20+Sheet1!R19</f>
        <v>#REF!</v>
      </c>
      <c r="J19" t="e">
        <f>J20+Sheet1!S19</f>
        <v>#REF!</v>
      </c>
      <c r="K19" t="e">
        <f>K20+Sheet1!T19</f>
        <v>#REF!</v>
      </c>
      <c r="L19" t="e">
        <f>L20+Sheet1!U19</f>
        <v>#REF!</v>
      </c>
      <c r="M19" t="e">
        <f>M20+Sheet1!V19</f>
        <v>#REF!</v>
      </c>
      <c r="N19" t="e">
        <f>N20+Sheet1!W19</f>
        <v>#REF!</v>
      </c>
      <c r="O19" t="e">
        <f>O20+Sheet1!X19</f>
        <v>#REF!</v>
      </c>
      <c r="P19" t="e">
        <f>P20+Sheet1!Y19</f>
        <v>#REF!</v>
      </c>
      <c r="Q19" t="e">
        <f>Q20+Sheet1!Z19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F21+Sheet1!O20</f>
        <v>#REF!</v>
      </c>
      <c r="G20" t="e">
        <f>G21+Sheet1!P20</f>
        <v>#REF!</v>
      </c>
      <c r="H20" t="e">
        <f>H21+Sheet1!Q20</f>
        <v>#REF!</v>
      </c>
      <c r="I20" t="e">
        <f>I21+Sheet1!R20</f>
        <v>#REF!</v>
      </c>
      <c r="J20" t="e">
        <f>J21+Sheet1!S20</f>
        <v>#REF!</v>
      </c>
      <c r="K20" t="e">
        <f>K21+Sheet1!T20</f>
        <v>#REF!</v>
      </c>
      <c r="L20" t="e">
        <f>L21+Sheet1!U20</f>
        <v>#REF!</v>
      </c>
      <c r="M20" t="e">
        <f>M21+Sheet1!V20</f>
        <v>#REF!</v>
      </c>
      <c r="N20" t="e">
        <f>N21+Sheet1!W20</f>
        <v>#REF!</v>
      </c>
      <c r="O20" t="e">
        <f>O21+Sheet1!X20</f>
        <v>#REF!</v>
      </c>
      <c r="P20" t="e">
        <f>P21+Sheet1!Y20</f>
        <v>#REF!</v>
      </c>
      <c r="Q20" t="e">
        <f>Q21+Sheet1!Z20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F22+Sheet1!O21</f>
        <v>#REF!</v>
      </c>
      <c r="G21" t="e">
        <f>G22+Sheet1!P21</f>
        <v>#REF!</v>
      </c>
      <c r="H21" t="e">
        <f>H22+Sheet1!Q21</f>
        <v>#REF!</v>
      </c>
      <c r="I21" t="e">
        <f>I22+Sheet1!R21</f>
        <v>#REF!</v>
      </c>
      <c r="J21" t="e">
        <f>J22+Sheet1!S21</f>
        <v>#REF!</v>
      </c>
      <c r="K21" t="e">
        <f>K22+Sheet1!T21</f>
        <v>#REF!</v>
      </c>
      <c r="L21" t="e">
        <f>L22+Sheet1!U21</f>
        <v>#REF!</v>
      </c>
      <c r="M21" t="e">
        <f>M22+Sheet1!V21</f>
        <v>#REF!</v>
      </c>
      <c r="N21" t="e">
        <f>N22+Sheet1!W21</f>
        <v>#REF!</v>
      </c>
      <c r="O21" t="e">
        <f>O22+Sheet1!X21</f>
        <v>#REF!</v>
      </c>
      <c r="P21" t="e">
        <f>P22+Sheet1!Y21</f>
        <v>#REF!</v>
      </c>
      <c r="Q21" t="e">
        <f>Q22+Sheet1!Z21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F23+Sheet1!O22</f>
        <v>#REF!</v>
      </c>
      <c r="G22" t="e">
        <f>G23+Sheet1!P22</f>
        <v>#REF!</v>
      </c>
      <c r="H22" t="e">
        <f>H23+Sheet1!Q22</f>
        <v>#REF!</v>
      </c>
      <c r="I22" t="e">
        <f>I23+Sheet1!R22</f>
        <v>#REF!</v>
      </c>
      <c r="J22" t="e">
        <f>J23+Sheet1!S22</f>
        <v>#REF!</v>
      </c>
      <c r="K22" t="e">
        <f>K23+Sheet1!T22</f>
        <v>#REF!</v>
      </c>
      <c r="L22" t="e">
        <f>L23+Sheet1!U22</f>
        <v>#REF!</v>
      </c>
      <c r="M22" t="e">
        <f>M23+Sheet1!V22</f>
        <v>#REF!</v>
      </c>
      <c r="N22" t="e">
        <f>N23+Sheet1!W22</f>
        <v>#REF!</v>
      </c>
      <c r="O22" t="e">
        <f>O23+Sheet1!X22</f>
        <v>#REF!</v>
      </c>
      <c r="P22" t="e">
        <f>P23+Sheet1!Y22</f>
        <v>#REF!</v>
      </c>
      <c r="Q22" t="e">
        <f>Q23+Sheet1!Z22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F24+Sheet1!O23</f>
        <v>#REF!</v>
      </c>
      <c r="G23" t="e">
        <f>G24+Sheet1!P23</f>
        <v>#REF!</v>
      </c>
      <c r="H23" t="e">
        <f>H24+Sheet1!Q23</f>
        <v>#REF!</v>
      </c>
      <c r="I23" t="e">
        <f>I24+Sheet1!R23</f>
        <v>#REF!</v>
      </c>
      <c r="J23" t="e">
        <f>J24+Sheet1!S23</f>
        <v>#REF!</v>
      </c>
      <c r="K23" t="e">
        <f>K24+Sheet1!T23</f>
        <v>#REF!</v>
      </c>
      <c r="L23" t="e">
        <f>L24+Sheet1!U23</f>
        <v>#REF!</v>
      </c>
      <c r="M23" t="e">
        <f>M24+Sheet1!V23</f>
        <v>#REF!</v>
      </c>
      <c r="N23" t="e">
        <f>N24+Sheet1!W23</f>
        <v>#REF!</v>
      </c>
      <c r="O23" t="e">
        <f>O24+Sheet1!X23</f>
        <v>#REF!</v>
      </c>
      <c r="P23" t="e">
        <f>P24+Sheet1!Y23</f>
        <v>#REF!</v>
      </c>
      <c r="Q23" t="e">
        <f>Q24+Sheet1!Z23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F25+Sheet1!O24</f>
        <v>#REF!</v>
      </c>
      <c r="G24" t="e">
        <f>G25+Sheet1!P24</f>
        <v>#REF!</v>
      </c>
      <c r="H24" t="e">
        <f>H25+Sheet1!Q24</f>
        <v>#REF!</v>
      </c>
      <c r="I24" t="e">
        <f>I25+Sheet1!R24</f>
        <v>#REF!</v>
      </c>
      <c r="J24" t="e">
        <f>J25+Sheet1!S24</f>
        <v>#REF!</v>
      </c>
      <c r="K24" t="e">
        <f>K25+Sheet1!T24</f>
        <v>#REF!</v>
      </c>
      <c r="L24" t="e">
        <f>L25+Sheet1!U24</f>
        <v>#REF!</v>
      </c>
      <c r="M24" t="e">
        <f>M25+Sheet1!V24</f>
        <v>#REF!</v>
      </c>
      <c r="N24" t="e">
        <f>N25+Sheet1!W24</f>
        <v>#REF!</v>
      </c>
      <c r="O24" t="e">
        <f>O25+Sheet1!X24</f>
        <v>#REF!</v>
      </c>
      <c r="P24" t="e">
        <f>P25+Sheet1!Y24</f>
        <v>#REF!</v>
      </c>
      <c r="Q24" t="e">
        <f>Q25+Sheet1!Z24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F26+Sheet1!O25</f>
        <v>#REF!</v>
      </c>
      <c r="G25" t="e">
        <f>G26+Sheet1!P25</f>
        <v>#REF!</v>
      </c>
      <c r="H25" t="e">
        <f>H26+Sheet1!Q25</f>
        <v>#REF!</v>
      </c>
      <c r="I25" t="e">
        <f>I26+Sheet1!R25</f>
        <v>#REF!</v>
      </c>
      <c r="J25" t="e">
        <f>J26+Sheet1!S25</f>
        <v>#REF!</v>
      </c>
      <c r="K25" t="e">
        <f>K26+Sheet1!T25</f>
        <v>#REF!</v>
      </c>
      <c r="L25" t="e">
        <f>L26+Sheet1!U25</f>
        <v>#REF!</v>
      </c>
      <c r="M25" t="e">
        <f>M26+Sheet1!V25</f>
        <v>#REF!</v>
      </c>
      <c r="N25" t="e">
        <f>N26+Sheet1!W25</f>
        <v>#REF!</v>
      </c>
      <c r="O25" t="e">
        <f>O26+Sheet1!X25</f>
        <v>#REF!</v>
      </c>
      <c r="P25" t="e">
        <f>P26+Sheet1!Y25</f>
        <v>#REF!</v>
      </c>
      <c r="Q25" t="e">
        <f>Q26+Sheet1!Z25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F27+Sheet1!O26</f>
        <v>#REF!</v>
      </c>
      <c r="G26" t="e">
        <f>G27+Sheet1!P26</f>
        <v>#REF!</v>
      </c>
      <c r="H26" t="e">
        <f>H27+Sheet1!Q26</f>
        <v>#REF!</v>
      </c>
      <c r="I26" t="e">
        <f>I27+Sheet1!R26</f>
        <v>#REF!</v>
      </c>
      <c r="J26" t="e">
        <f>J27+Sheet1!S26</f>
        <v>#REF!</v>
      </c>
      <c r="K26" t="e">
        <f>K27+Sheet1!T26</f>
        <v>#REF!</v>
      </c>
      <c r="L26" t="e">
        <f>L27+Sheet1!U26</f>
        <v>#REF!</v>
      </c>
      <c r="M26" t="e">
        <f>M27+Sheet1!V26</f>
        <v>#REF!</v>
      </c>
      <c r="N26" t="e">
        <f>N27+Sheet1!W26</f>
        <v>#REF!</v>
      </c>
      <c r="O26" t="e">
        <f>O27+Sheet1!X26</f>
        <v>#REF!</v>
      </c>
      <c r="P26" t="e">
        <f>P27+Sheet1!Y26</f>
        <v>#REF!</v>
      </c>
      <c r="Q26" t="e">
        <f>Q27+Sheet1!Z26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F28+Sheet1!O27</f>
        <v>#REF!</v>
      </c>
      <c r="G27" t="e">
        <f>G28+Sheet1!P27</f>
        <v>#REF!</v>
      </c>
      <c r="H27" t="e">
        <f>H28+Sheet1!Q27</f>
        <v>#REF!</v>
      </c>
      <c r="I27" t="e">
        <f>I28+Sheet1!R27</f>
        <v>#REF!</v>
      </c>
      <c r="J27" t="e">
        <f>J28+Sheet1!S27</f>
        <v>#REF!</v>
      </c>
      <c r="K27" t="e">
        <f>K28+Sheet1!T27</f>
        <v>#REF!</v>
      </c>
      <c r="L27" t="e">
        <f>L28+Sheet1!U27</f>
        <v>#REF!</v>
      </c>
      <c r="M27" t="e">
        <f>M28+Sheet1!V27</f>
        <v>#REF!</v>
      </c>
      <c r="N27" t="e">
        <f>N28+Sheet1!W27</f>
        <v>#REF!</v>
      </c>
      <c r="O27" t="e">
        <f>O28+Sheet1!X27</f>
        <v>#REF!</v>
      </c>
      <c r="P27" t="e">
        <f>P28+Sheet1!Y27</f>
        <v>#REF!</v>
      </c>
      <c r="Q27" t="e">
        <f>Q28+Sheet1!Z27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F29+Sheet1!O28</f>
        <v>#REF!</v>
      </c>
      <c r="G28" t="e">
        <f>G29+Sheet1!P28</f>
        <v>#REF!</v>
      </c>
      <c r="H28" t="e">
        <f>H29+Sheet1!Q28</f>
        <v>#REF!</v>
      </c>
      <c r="I28" t="e">
        <f>I29+Sheet1!R28</f>
        <v>#REF!</v>
      </c>
      <c r="J28" t="e">
        <f>J29+Sheet1!S28</f>
        <v>#REF!</v>
      </c>
      <c r="K28" t="e">
        <f>K29+Sheet1!T28</f>
        <v>#REF!</v>
      </c>
      <c r="L28" t="e">
        <f>L29+Sheet1!U28</f>
        <v>#REF!</v>
      </c>
      <c r="M28" t="e">
        <f>M29+Sheet1!V28</f>
        <v>#REF!</v>
      </c>
      <c r="N28" t="e">
        <f>N29+Sheet1!W28</f>
        <v>#REF!</v>
      </c>
      <c r="O28" t="e">
        <f>O29+Sheet1!X28</f>
        <v>#REF!</v>
      </c>
      <c r="P28" t="e">
        <f>P29+Sheet1!Y28</f>
        <v>#REF!</v>
      </c>
      <c r="Q28" t="e">
        <f>Q29+Sheet1!Z28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F30+Sheet1!O29</f>
        <v>#REF!</v>
      </c>
      <c r="G29" t="e">
        <f>G30+Sheet1!P29</f>
        <v>#REF!</v>
      </c>
      <c r="H29" t="e">
        <f>H30+Sheet1!Q29</f>
        <v>#REF!</v>
      </c>
      <c r="I29" t="e">
        <f>I30+Sheet1!R29</f>
        <v>#REF!</v>
      </c>
      <c r="J29" t="e">
        <f>J30+Sheet1!S29</f>
        <v>#REF!</v>
      </c>
      <c r="K29" t="e">
        <f>K30+Sheet1!T29</f>
        <v>#REF!</v>
      </c>
      <c r="L29" t="e">
        <f>L30+Sheet1!U29</f>
        <v>#REF!</v>
      </c>
      <c r="M29" t="e">
        <f>M30+Sheet1!V29</f>
        <v>#REF!</v>
      </c>
      <c r="N29" t="e">
        <f>N30+Sheet1!W29</f>
        <v>#REF!</v>
      </c>
      <c r="O29" t="e">
        <f>O30+Sheet1!X29</f>
        <v>#REF!</v>
      </c>
      <c r="P29" t="e">
        <f>P30+Sheet1!Y29</f>
        <v>#REF!</v>
      </c>
      <c r="Q29" t="e">
        <f>Q30+Sheet1!Z29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F31+Sheet1!O30</f>
        <v>#REF!</v>
      </c>
      <c r="G30" t="e">
        <f>G31+Sheet1!P30</f>
        <v>#REF!</v>
      </c>
      <c r="H30" t="e">
        <f>H31+Sheet1!Q30</f>
        <v>#REF!</v>
      </c>
      <c r="I30" t="e">
        <f>I31+Sheet1!R30</f>
        <v>#REF!</v>
      </c>
      <c r="J30" t="e">
        <f>J31+Sheet1!S30</f>
        <v>#REF!</v>
      </c>
      <c r="K30" t="e">
        <f>K31+Sheet1!T30</f>
        <v>#REF!</v>
      </c>
      <c r="L30" t="e">
        <f>L31+Sheet1!U30</f>
        <v>#REF!</v>
      </c>
      <c r="M30" t="e">
        <f>M31+Sheet1!V30</f>
        <v>#REF!</v>
      </c>
      <c r="N30" t="e">
        <f>N31+Sheet1!W30</f>
        <v>#REF!</v>
      </c>
      <c r="O30" t="e">
        <f>O31+Sheet1!X30</f>
        <v>#REF!</v>
      </c>
      <c r="P30" t="e">
        <f>P31+Sheet1!Y30</f>
        <v>#REF!</v>
      </c>
      <c r="Q30" t="e">
        <f>Q31+Sheet1!Z30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F32+Sheet1!O31</f>
        <v>#REF!</v>
      </c>
      <c r="G31" t="e">
        <f>G32+Sheet1!P31</f>
        <v>#REF!</v>
      </c>
      <c r="H31" t="e">
        <f>H32+Sheet1!Q31</f>
        <v>#REF!</v>
      </c>
      <c r="I31" t="e">
        <f>I32+Sheet1!R31</f>
        <v>#REF!</v>
      </c>
      <c r="J31" t="e">
        <f>J32+Sheet1!S31</f>
        <v>#REF!</v>
      </c>
      <c r="K31" t="e">
        <f>K32+Sheet1!T31</f>
        <v>#REF!</v>
      </c>
      <c r="L31" t="e">
        <f>L32+Sheet1!U31</f>
        <v>#REF!</v>
      </c>
      <c r="M31" t="e">
        <f>M32+Sheet1!V31</f>
        <v>#REF!</v>
      </c>
      <c r="N31" t="e">
        <f>N32+Sheet1!W31</f>
        <v>#REF!</v>
      </c>
      <c r="O31" t="e">
        <f>O32+Sheet1!X31</f>
        <v>#REF!</v>
      </c>
      <c r="P31" t="e">
        <f>P32+Sheet1!Y31</f>
        <v>#REF!</v>
      </c>
      <c r="Q31" t="e">
        <f>Q32+Sheet1!Z31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F33+Sheet1!O32</f>
        <v>#REF!</v>
      </c>
      <c r="G32" t="e">
        <f>G33+Sheet1!P32</f>
        <v>#REF!</v>
      </c>
      <c r="H32" t="e">
        <f>H33+Sheet1!Q32</f>
        <v>#REF!</v>
      </c>
      <c r="I32" t="e">
        <f>I33+Sheet1!R32</f>
        <v>#REF!</v>
      </c>
      <c r="J32" t="e">
        <f>J33+Sheet1!S32</f>
        <v>#REF!</v>
      </c>
      <c r="K32" t="e">
        <f>K33+Sheet1!T32</f>
        <v>#REF!</v>
      </c>
      <c r="L32" t="e">
        <f>L33+Sheet1!U32</f>
        <v>#REF!</v>
      </c>
      <c r="M32" t="e">
        <f>M33+Sheet1!V32</f>
        <v>#REF!</v>
      </c>
      <c r="N32" t="e">
        <f>N33+Sheet1!W32</f>
        <v>#REF!</v>
      </c>
      <c r="O32" t="e">
        <f>O33+Sheet1!X32</f>
        <v>#REF!</v>
      </c>
      <c r="P32" t="e">
        <f>P33+Sheet1!Y32</f>
        <v>#REF!</v>
      </c>
      <c r="Q32" t="e">
        <f>Q33+Sheet1!Z32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F34+Sheet1!O33</f>
        <v>#REF!</v>
      </c>
      <c r="G33" t="e">
        <f>G34+Sheet1!P33</f>
        <v>#REF!</v>
      </c>
      <c r="H33" t="e">
        <f>H34+Sheet1!Q33</f>
        <v>#REF!</v>
      </c>
      <c r="I33" t="e">
        <f>I34+Sheet1!R33</f>
        <v>#REF!</v>
      </c>
      <c r="J33" t="e">
        <f>J34+Sheet1!S33</f>
        <v>#REF!</v>
      </c>
      <c r="K33" t="e">
        <f>K34+Sheet1!T33</f>
        <v>#REF!</v>
      </c>
      <c r="L33" t="e">
        <f>L34+Sheet1!U33</f>
        <v>#REF!</v>
      </c>
      <c r="M33" t="e">
        <f>M34+Sheet1!V33</f>
        <v>#REF!</v>
      </c>
      <c r="N33" t="e">
        <f>N34+Sheet1!W33</f>
        <v>#REF!</v>
      </c>
      <c r="O33" t="e">
        <f>O34+Sheet1!X33</f>
        <v>#REF!</v>
      </c>
      <c r="P33" t="e">
        <f>P34+Sheet1!Y33</f>
        <v>#REF!</v>
      </c>
      <c r="Q33" t="e">
        <f>Q34+Sheet1!Z33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F35+Sheet1!O34</f>
        <v>#REF!</v>
      </c>
      <c r="G34" t="e">
        <f>G35+Sheet1!P34</f>
        <v>#REF!</v>
      </c>
      <c r="H34" t="e">
        <f>H35+Sheet1!Q34</f>
        <v>#REF!</v>
      </c>
      <c r="I34" t="e">
        <f>I35+Sheet1!R34</f>
        <v>#REF!</v>
      </c>
      <c r="J34" t="e">
        <f>J35+Sheet1!S34</f>
        <v>#REF!</v>
      </c>
      <c r="K34" t="e">
        <f>K35+Sheet1!T34</f>
        <v>#REF!</v>
      </c>
      <c r="L34" t="e">
        <f>L35+Sheet1!U34</f>
        <v>#REF!</v>
      </c>
      <c r="M34" t="e">
        <f>M35+Sheet1!V34</f>
        <v>#REF!</v>
      </c>
      <c r="N34" t="e">
        <f>N35+Sheet1!W34</f>
        <v>#REF!</v>
      </c>
      <c r="O34" t="e">
        <f>O35+Sheet1!X34</f>
        <v>#REF!</v>
      </c>
      <c r="P34" t="e">
        <f>P35+Sheet1!Y34</f>
        <v>#REF!</v>
      </c>
      <c r="Q34" t="e">
        <f>Q35+Sheet1!Z34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F36+Sheet1!O35</f>
        <v>#REF!</v>
      </c>
      <c r="G35" t="e">
        <f>G36+Sheet1!P35</f>
        <v>#REF!</v>
      </c>
      <c r="H35" t="e">
        <f>H36+Sheet1!Q35</f>
        <v>#REF!</v>
      </c>
      <c r="I35" t="e">
        <f>I36+Sheet1!R35</f>
        <v>#REF!</v>
      </c>
      <c r="J35" t="e">
        <f>J36+Sheet1!S35</f>
        <v>#REF!</v>
      </c>
      <c r="K35" t="e">
        <f>K36+Sheet1!T35</f>
        <v>#REF!</v>
      </c>
      <c r="L35" t="e">
        <f>L36+Sheet1!U35</f>
        <v>#REF!</v>
      </c>
      <c r="M35" t="e">
        <f>M36+Sheet1!V35</f>
        <v>#REF!</v>
      </c>
      <c r="N35" t="e">
        <f>N36+Sheet1!W35</f>
        <v>#REF!</v>
      </c>
      <c r="O35" t="e">
        <f>O36+Sheet1!X35</f>
        <v>#REF!</v>
      </c>
      <c r="P35" t="e">
        <f>P36+Sheet1!Y35</f>
        <v>#REF!</v>
      </c>
      <c r="Q35" t="e">
        <f>Q36+Sheet1!Z35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F37+Sheet1!O36</f>
        <v>#REF!</v>
      </c>
      <c r="G36" t="e">
        <f>G37+Sheet1!P36</f>
        <v>#REF!</v>
      </c>
      <c r="H36" t="e">
        <f>H37+Sheet1!Q36</f>
        <v>#REF!</v>
      </c>
      <c r="I36" t="e">
        <f>I37+Sheet1!R36</f>
        <v>#REF!</v>
      </c>
      <c r="J36" t="e">
        <f>J37+Sheet1!S36</f>
        <v>#REF!</v>
      </c>
      <c r="K36" t="e">
        <f>K37+Sheet1!T36</f>
        <v>#REF!</v>
      </c>
      <c r="L36" t="e">
        <f>L37+Sheet1!U36</f>
        <v>#REF!</v>
      </c>
      <c r="M36" t="e">
        <f>M37+Sheet1!V36</f>
        <v>#REF!</v>
      </c>
      <c r="N36" t="e">
        <f>N37+Sheet1!W36</f>
        <v>#REF!</v>
      </c>
      <c r="O36" t="e">
        <f>O37+Sheet1!X36</f>
        <v>#REF!</v>
      </c>
      <c r="P36" t="e">
        <f>P37+Sheet1!Y36</f>
        <v>#REF!</v>
      </c>
      <c r="Q36" t="e">
        <f>Q37+Sheet1!Z36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F38+Sheet1!O37</f>
        <v>#REF!</v>
      </c>
      <c r="G37" t="e">
        <f>G38+Sheet1!P37</f>
        <v>#REF!</v>
      </c>
      <c r="H37" t="e">
        <f>H38+Sheet1!Q37</f>
        <v>#REF!</v>
      </c>
      <c r="I37" t="e">
        <f>I38+Sheet1!R37</f>
        <v>#REF!</v>
      </c>
      <c r="J37" t="e">
        <f>J38+Sheet1!S37</f>
        <v>#REF!</v>
      </c>
      <c r="K37" t="e">
        <f>K38+Sheet1!T37</f>
        <v>#REF!</v>
      </c>
      <c r="L37" t="e">
        <f>L38+Sheet1!U37</f>
        <v>#REF!</v>
      </c>
      <c r="M37" t="e">
        <f>M38+Sheet1!V37</f>
        <v>#REF!</v>
      </c>
      <c r="N37" t="e">
        <f>N38+Sheet1!W37</f>
        <v>#REF!</v>
      </c>
      <c r="O37" t="e">
        <f>O38+Sheet1!X37</f>
        <v>#REF!</v>
      </c>
      <c r="P37" t="e">
        <f>P38+Sheet1!Y37</f>
        <v>#REF!</v>
      </c>
      <c r="Q37" t="e">
        <f>Q38+Sheet1!Z37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F39+Sheet1!O39</f>
        <v>#REF!</v>
      </c>
      <c r="G38" t="e">
        <f>G39+Sheet1!P39</f>
        <v>#REF!</v>
      </c>
      <c r="H38" t="e">
        <f>H39+Sheet1!Q39</f>
        <v>#REF!</v>
      </c>
      <c r="I38" t="e">
        <f>I39+Sheet1!R39</f>
        <v>#REF!</v>
      </c>
      <c r="J38" t="e">
        <f>J39+Sheet1!S39</f>
        <v>#REF!</v>
      </c>
      <c r="K38" t="e">
        <f>K39+Sheet1!T39</f>
        <v>#REF!</v>
      </c>
      <c r="L38" t="e">
        <f>L39+Sheet1!U39</f>
        <v>#REF!</v>
      </c>
      <c r="M38" t="e">
        <f>M39+Sheet1!V39</f>
        <v>#REF!</v>
      </c>
      <c r="N38" t="e">
        <f>N39+Sheet1!W39</f>
        <v>#REF!</v>
      </c>
      <c r="O38" t="e">
        <f>O39+Sheet1!X39</f>
        <v>#REF!</v>
      </c>
      <c r="P38" t="e">
        <f>P39+Sheet1!Y39</f>
        <v>#REF!</v>
      </c>
      <c r="Q38" t="e">
        <f>Q39+Sheet1!Z39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F40+Sheet1!O40</f>
        <v>#REF!</v>
      </c>
      <c r="G39" t="e">
        <f>G40+Sheet1!P40</f>
        <v>#REF!</v>
      </c>
      <c r="H39" t="e">
        <f>H40+Sheet1!Q40</f>
        <v>#REF!</v>
      </c>
      <c r="I39" t="e">
        <f>I40+Sheet1!R40</f>
        <v>#REF!</v>
      </c>
      <c r="J39" t="e">
        <f>J40+Sheet1!S40</f>
        <v>#REF!</v>
      </c>
      <c r="K39" t="e">
        <f>K40+Sheet1!T40</f>
        <v>#REF!</v>
      </c>
      <c r="L39" t="e">
        <f>L40+Sheet1!U40</f>
        <v>#REF!</v>
      </c>
      <c r="M39" t="e">
        <f>M40+Sheet1!V40</f>
        <v>#REF!</v>
      </c>
      <c r="N39" t="e">
        <f>N40+Sheet1!W40</f>
        <v>#REF!</v>
      </c>
      <c r="O39" t="e">
        <f>O40+Sheet1!X40</f>
        <v>#REF!</v>
      </c>
      <c r="P39" t="e">
        <f>P40+Sheet1!Y40</f>
        <v>#REF!</v>
      </c>
      <c r="Q39" t="e">
        <f>Q40+Sheet1!Z40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F41+Sheet1!O41</f>
        <v>#REF!</v>
      </c>
      <c r="G40" t="e">
        <f>G41+Sheet1!P41</f>
        <v>#REF!</v>
      </c>
      <c r="H40" t="e">
        <f>H41+Sheet1!Q41</f>
        <v>#REF!</v>
      </c>
      <c r="I40" t="e">
        <f>I41+Sheet1!R41</f>
        <v>#REF!</v>
      </c>
      <c r="J40" t="e">
        <f>J41+Sheet1!S41</f>
        <v>#REF!</v>
      </c>
      <c r="K40" t="e">
        <f>K41+Sheet1!T41</f>
        <v>#REF!</v>
      </c>
      <c r="L40" t="e">
        <f>L41+Sheet1!U41</f>
        <v>#REF!</v>
      </c>
      <c r="M40" t="e">
        <f>M41+Sheet1!V41</f>
        <v>#REF!</v>
      </c>
      <c r="N40" t="e">
        <f>N41+Sheet1!W41</f>
        <v>#REF!</v>
      </c>
      <c r="O40" t="e">
        <f>O41+Sheet1!X41</f>
        <v>#REF!</v>
      </c>
      <c r="P40" t="e">
        <f>P41+Sheet1!Y41</f>
        <v>#REF!</v>
      </c>
      <c r="Q40" t="e">
        <f>Q41+Sheet1!Z41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F42+Sheet1!O42</f>
        <v>#REF!</v>
      </c>
      <c r="G41" t="e">
        <f>G42+Sheet1!P42</f>
        <v>#REF!</v>
      </c>
      <c r="H41" t="e">
        <f>H42+Sheet1!Q42</f>
        <v>#REF!</v>
      </c>
      <c r="I41" t="e">
        <f>I42+Sheet1!R42</f>
        <v>#REF!</v>
      </c>
      <c r="J41" t="e">
        <f>J42+Sheet1!S42</f>
        <v>#REF!</v>
      </c>
      <c r="K41" t="e">
        <f>K42+Sheet1!T42</f>
        <v>#REF!</v>
      </c>
      <c r="L41" t="e">
        <f>L42+Sheet1!U42</f>
        <v>#REF!</v>
      </c>
      <c r="M41" t="e">
        <f>M42+Sheet1!V42</f>
        <v>#REF!</v>
      </c>
      <c r="N41" t="e">
        <f>N42+Sheet1!W42</f>
        <v>#REF!</v>
      </c>
      <c r="O41" t="e">
        <f>O42+Sheet1!X42</f>
        <v>#REF!</v>
      </c>
      <c r="P41" t="e">
        <f>P42+Sheet1!Y42</f>
        <v>#REF!</v>
      </c>
      <c r="Q41" t="e">
        <f>Q42+Sheet1!Z42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F43+Sheet1!O43</f>
        <v>#REF!</v>
      </c>
      <c r="G42" t="e">
        <f>G43+Sheet1!P43</f>
        <v>#REF!</v>
      </c>
      <c r="H42" t="e">
        <f>H43+Sheet1!Q43</f>
        <v>#REF!</v>
      </c>
      <c r="I42" t="e">
        <f>I43+Sheet1!R43</f>
        <v>#REF!</v>
      </c>
      <c r="J42" t="e">
        <f>J43+Sheet1!S43</f>
        <v>#REF!</v>
      </c>
      <c r="K42" t="e">
        <f>K43+Sheet1!T43</f>
        <v>#REF!</v>
      </c>
      <c r="L42" t="e">
        <f>L43+Sheet1!U43</f>
        <v>#REF!</v>
      </c>
      <c r="M42" t="e">
        <f>M43+Sheet1!V43</f>
        <v>#REF!</v>
      </c>
      <c r="N42" t="e">
        <f>N43+Sheet1!W43</f>
        <v>#REF!</v>
      </c>
      <c r="O42" t="e">
        <f>O43+Sheet1!X43</f>
        <v>#REF!</v>
      </c>
      <c r="P42" t="e">
        <f>P43+Sheet1!Y43</f>
        <v>#REF!</v>
      </c>
      <c r="Q42" t="e">
        <f>Q43+Sheet1!Z43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F44+Sheet1!O44</f>
        <v>#REF!</v>
      </c>
      <c r="G43" t="e">
        <f>G44+Sheet1!P44</f>
        <v>#REF!</v>
      </c>
      <c r="H43" t="e">
        <f>H44+Sheet1!Q44</f>
        <v>#REF!</v>
      </c>
      <c r="I43" t="e">
        <f>I44+Sheet1!R44</f>
        <v>#REF!</v>
      </c>
      <c r="J43" t="e">
        <f>J44+Sheet1!S44</f>
        <v>#REF!</v>
      </c>
      <c r="K43" t="e">
        <f>K44+Sheet1!T44</f>
        <v>#REF!</v>
      </c>
      <c r="L43" t="e">
        <f>L44+Sheet1!U44</f>
        <v>#REF!</v>
      </c>
      <c r="M43" t="e">
        <f>M44+Sheet1!V44</f>
        <v>#REF!</v>
      </c>
      <c r="N43" t="e">
        <f>N44+Sheet1!W44</f>
        <v>#REF!</v>
      </c>
      <c r="O43" t="e">
        <f>O44+Sheet1!X44</f>
        <v>#REF!</v>
      </c>
      <c r="P43" t="e">
        <f>P44+Sheet1!Y44</f>
        <v>#REF!</v>
      </c>
      <c r="Q43" t="e">
        <f>Q44+Sheet1!Z44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F45+Sheet1!O46</f>
        <v>#REF!</v>
      </c>
      <c r="G44" t="e">
        <f>G45+Sheet1!P46</f>
        <v>#REF!</v>
      </c>
      <c r="H44" t="e">
        <f>H45+Sheet1!Q46</f>
        <v>#REF!</v>
      </c>
      <c r="I44" t="e">
        <f>I45+Sheet1!R46</f>
        <v>#REF!</v>
      </c>
      <c r="J44" t="e">
        <f>J45+Sheet1!S46</f>
        <v>#REF!</v>
      </c>
      <c r="K44" t="e">
        <f>K45+Sheet1!T46</f>
        <v>#REF!</v>
      </c>
      <c r="L44" t="e">
        <f>L45+Sheet1!U46</f>
        <v>#REF!</v>
      </c>
      <c r="M44" t="e">
        <f>M45+Sheet1!V46</f>
        <v>#REF!</v>
      </c>
      <c r="N44" t="e">
        <f>N45+Sheet1!W46</f>
        <v>#REF!</v>
      </c>
      <c r="O44" t="e">
        <f>O45+Sheet1!X46</f>
        <v>#REF!</v>
      </c>
      <c r="P44" t="e">
        <f>P45+Sheet1!Y46</f>
        <v>#REF!</v>
      </c>
      <c r="Q44" t="e">
        <f>Q45+Sheet1!Z46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F46+Sheet1!O47</f>
        <v>#REF!</v>
      </c>
      <c r="G45" t="e">
        <f>G46+Sheet1!P47</f>
        <v>#REF!</v>
      </c>
      <c r="H45" t="e">
        <f>H46+Sheet1!Q47</f>
        <v>#REF!</v>
      </c>
      <c r="I45" t="e">
        <f>I46+Sheet1!R47</f>
        <v>#REF!</v>
      </c>
      <c r="J45" t="e">
        <f>J46+Sheet1!S47</f>
        <v>#REF!</v>
      </c>
      <c r="K45" t="e">
        <f>K46+Sheet1!T47</f>
        <v>#REF!</v>
      </c>
      <c r="L45" t="e">
        <f>L46+Sheet1!U47</f>
        <v>#REF!</v>
      </c>
      <c r="M45" t="e">
        <f>M46+Sheet1!V47</f>
        <v>#REF!</v>
      </c>
      <c r="N45" t="e">
        <f>N46+Sheet1!W47</f>
        <v>#REF!</v>
      </c>
      <c r="O45" t="e">
        <f>O46+Sheet1!X47</f>
        <v>#REF!</v>
      </c>
      <c r="P45" t="e">
        <f>P46+Sheet1!Y47</f>
        <v>#REF!</v>
      </c>
      <c r="Q45" t="e">
        <f>Q46+Sheet1!Z47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F47+Sheet1!O48</f>
        <v>#REF!</v>
      </c>
      <c r="G46" t="e">
        <f>G47+Sheet1!P48</f>
        <v>#REF!</v>
      </c>
      <c r="H46" t="e">
        <f>H47+Sheet1!Q48</f>
        <v>#REF!</v>
      </c>
      <c r="I46" t="e">
        <f>I47+Sheet1!R48</f>
        <v>#REF!</v>
      </c>
      <c r="J46" t="e">
        <f>J47+Sheet1!S48</f>
        <v>#REF!</v>
      </c>
      <c r="K46" t="e">
        <f>K47+Sheet1!T48</f>
        <v>#REF!</v>
      </c>
      <c r="L46" t="e">
        <f>L47+Sheet1!U48</f>
        <v>#REF!</v>
      </c>
      <c r="M46" t="e">
        <f>M47+Sheet1!V48</f>
        <v>#REF!</v>
      </c>
      <c r="N46" t="e">
        <f>N47+Sheet1!W48</f>
        <v>#REF!</v>
      </c>
      <c r="O46" t="e">
        <f>O47+Sheet1!X48</f>
        <v>#REF!</v>
      </c>
      <c r="P46" t="e">
        <f>P47+Sheet1!Y48</f>
        <v>#REF!</v>
      </c>
      <c r="Q46" t="e">
        <f>Q47+Sheet1!Z48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F48+Sheet1!O49</f>
        <v>#REF!</v>
      </c>
      <c r="G47" t="e">
        <f>G48+Sheet1!P49</f>
        <v>#REF!</v>
      </c>
      <c r="H47" t="e">
        <f>H48+Sheet1!Q49</f>
        <v>#REF!</v>
      </c>
      <c r="I47" t="e">
        <f>I48+Sheet1!R49</f>
        <v>#REF!</v>
      </c>
      <c r="J47" t="e">
        <f>J48+Sheet1!S49</f>
        <v>#REF!</v>
      </c>
      <c r="K47" t="e">
        <f>K48+Sheet1!T49</f>
        <v>#REF!</v>
      </c>
      <c r="L47" t="e">
        <f>L48+Sheet1!U49</f>
        <v>#REF!</v>
      </c>
      <c r="M47" t="e">
        <f>M48+Sheet1!V49</f>
        <v>#REF!</v>
      </c>
      <c r="N47" t="e">
        <f>N48+Sheet1!W49</f>
        <v>#REF!</v>
      </c>
      <c r="O47" t="e">
        <f>O48+Sheet1!X49</f>
        <v>#REF!</v>
      </c>
      <c r="P47" t="e">
        <f>P48+Sheet1!Y49</f>
        <v>#REF!</v>
      </c>
      <c r="Q47" t="e">
        <f>Q48+Sheet1!Z49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F49+Sheet1!O50</f>
        <v>#REF!</v>
      </c>
      <c r="G48" t="e">
        <f>G49+Sheet1!P50</f>
        <v>#REF!</v>
      </c>
      <c r="H48" t="e">
        <f>H49+Sheet1!Q50</f>
        <v>#REF!</v>
      </c>
      <c r="I48" t="e">
        <f>I49+Sheet1!R50</f>
        <v>#REF!</v>
      </c>
      <c r="J48" t="e">
        <f>J49+Sheet1!S50</f>
        <v>#REF!</v>
      </c>
      <c r="K48" t="e">
        <f>K49+Sheet1!T50</f>
        <v>#REF!</v>
      </c>
      <c r="L48" t="e">
        <f>L49+Sheet1!U50</f>
        <v>#REF!</v>
      </c>
      <c r="M48" t="e">
        <f>M49+Sheet1!V50</f>
        <v>#REF!</v>
      </c>
      <c r="N48" t="e">
        <f>N49+Sheet1!W50</f>
        <v>#REF!</v>
      </c>
      <c r="O48" t="e">
        <f>O49+Sheet1!X50</f>
        <v>#REF!</v>
      </c>
      <c r="P48" t="e">
        <f>P49+Sheet1!Y50</f>
        <v>#REF!</v>
      </c>
      <c r="Q48" t="e">
        <f>Q49+Sheet1!Z50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F50+Sheet1!O51</f>
        <v>#REF!</v>
      </c>
      <c r="G49" t="e">
        <f>G50+Sheet1!P51</f>
        <v>#REF!</v>
      </c>
      <c r="H49" t="e">
        <f>H50+Sheet1!Q51</f>
        <v>#REF!</v>
      </c>
      <c r="I49" t="e">
        <f>I50+Sheet1!R51</f>
        <v>#REF!</v>
      </c>
      <c r="J49" t="e">
        <f>J50+Sheet1!S51</f>
        <v>#REF!</v>
      </c>
      <c r="K49" t="e">
        <f>K50+Sheet1!T51</f>
        <v>#REF!</v>
      </c>
      <c r="L49" t="e">
        <f>L50+Sheet1!U51</f>
        <v>#REF!</v>
      </c>
      <c r="M49" t="e">
        <f>M50+Sheet1!V51</f>
        <v>#REF!</v>
      </c>
      <c r="N49" t="e">
        <f>N50+Sheet1!W51</f>
        <v>#REF!</v>
      </c>
      <c r="O49" t="e">
        <f>O50+Sheet1!X51</f>
        <v>#REF!</v>
      </c>
      <c r="P49" t="e">
        <f>P50+Sheet1!Y51</f>
        <v>#REF!</v>
      </c>
      <c r="Q49" t="e">
        <f>Q50+Sheet1!Z51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F51+Sheet1!O52</f>
        <v>#REF!</v>
      </c>
      <c r="G50" t="e">
        <f>G51+Sheet1!P52</f>
        <v>#REF!</v>
      </c>
      <c r="H50" t="e">
        <f>H51+Sheet1!Q52</f>
        <v>#REF!</v>
      </c>
      <c r="I50" t="e">
        <f>I51+Sheet1!R52</f>
        <v>#REF!</v>
      </c>
      <c r="J50" t="e">
        <f>J51+Sheet1!S52</f>
        <v>#REF!</v>
      </c>
      <c r="K50" t="e">
        <f>K51+Sheet1!T52</f>
        <v>#REF!</v>
      </c>
      <c r="L50" t="e">
        <f>L51+Sheet1!U52</f>
        <v>#REF!</v>
      </c>
      <c r="M50" t="e">
        <f>M51+Sheet1!V52</f>
        <v>#REF!</v>
      </c>
      <c r="N50" t="e">
        <f>N51+Sheet1!W52</f>
        <v>#REF!</v>
      </c>
      <c r="O50" t="e">
        <f>O51+Sheet1!X52</f>
        <v>#REF!</v>
      </c>
      <c r="P50" t="e">
        <f>P51+Sheet1!Y52</f>
        <v>#REF!</v>
      </c>
      <c r="Q50" t="e">
        <f>Q51+Sheet1!Z52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F52+Sheet1!O53</f>
        <v>#REF!</v>
      </c>
      <c r="G51" t="e">
        <f>G52+Sheet1!P53</f>
        <v>#REF!</v>
      </c>
      <c r="H51" t="e">
        <f>H52+Sheet1!Q53</f>
        <v>#REF!</v>
      </c>
      <c r="I51" t="e">
        <f>I52+Sheet1!R53</f>
        <v>#REF!</v>
      </c>
      <c r="J51" t="e">
        <f>J52+Sheet1!S53</f>
        <v>#REF!</v>
      </c>
      <c r="K51" t="e">
        <f>K52+Sheet1!T53</f>
        <v>#REF!</v>
      </c>
      <c r="L51" t="e">
        <f>L52+Sheet1!U53</f>
        <v>#REF!</v>
      </c>
      <c r="M51" t="e">
        <f>M52+Sheet1!V53</f>
        <v>#REF!</v>
      </c>
      <c r="N51" t="e">
        <f>N52+Sheet1!W53</f>
        <v>#REF!</v>
      </c>
      <c r="O51" t="e">
        <f>O52+Sheet1!X53</f>
        <v>#REF!</v>
      </c>
      <c r="P51" t="e">
        <f>P52+Sheet1!Y53</f>
        <v>#REF!</v>
      </c>
      <c r="Q51" t="e">
        <f>Q52+Sheet1!Z53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F53+Sheet1!O54</f>
        <v>#REF!</v>
      </c>
      <c r="G52" t="e">
        <f>G53+Sheet1!P54</f>
        <v>#REF!</v>
      </c>
      <c r="H52" t="e">
        <f>H53+Sheet1!Q54</f>
        <v>#REF!</v>
      </c>
      <c r="I52" t="e">
        <f>I53+Sheet1!R54</f>
        <v>#REF!</v>
      </c>
      <c r="J52" t="e">
        <f>J53+Sheet1!S54</f>
        <v>#REF!</v>
      </c>
      <c r="K52" t="e">
        <f>K53+Sheet1!T54</f>
        <v>#REF!</v>
      </c>
      <c r="L52" t="e">
        <f>L53+Sheet1!U54</f>
        <v>#REF!</v>
      </c>
      <c r="M52" t="e">
        <f>M53+Sheet1!V54</f>
        <v>#REF!</v>
      </c>
      <c r="N52" t="e">
        <f>N53+Sheet1!W54</f>
        <v>#REF!</v>
      </c>
      <c r="O52" t="e">
        <f>O53+Sheet1!X54</f>
        <v>#REF!</v>
      </c>
      <c r="P52" t="e">
        <f>P53+Sheet1!Y54</f>
        <v>#REF!</v>
      </c>
      <c r="Q52" t="e">
        <f>Q53+Sheet1!Z54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F54+Sheet1!O55</f>
        <v>#REF!</v>
      </c>
      <c r="G53" t="e">
        <f>G54+Sheet1!P55</f>
        <v>#REF!</v>
      </c>
      <c r="H53" t="e">
        <f>H54+Sheet1!Q55</f>
        <v>#REF!</v>
      </c>
      <c r="I53" t="e">
        <f>I54+Sheet1!R55</f>
        <v>#REF!</v>
      </c>
      <c r="J53" t="e">
        <f>J54+Sheet1!S55</f>
        <v>#REF!</v>
      </c>
      <c r="K53" t="e">
        <f>K54+Sheet1!T55</f>
        <v>#REF!</v>
      </c>
      <c r="L53" t="e">
        <f>L54+Sheet1!U55</f>
        <v>#REF!</v>
      </c>
      <c r="M53" t="e">
        <f>M54+Sheet1!V55</f>
        <v>#REF!</v>
      </c>
      <c r="N53" t="e">
        <f>N54+Sheet1!W55</f>
        <v>#REF!</v>
      </c>
      <c r="O53" t="e">
        <f>O54+Sheet1!X55</f>
        <v>#REF!</v>
      </c>
      <c r="P53" t="e">
        <f>P54+Sheet1!Y55</f>
        <v>#REF!</v>
      </c>
      <c r="Q53" t="e">
        <f>Q54+Sheet1!Z55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F55+Sheet1!O56</f>
        <v>#REF!</v>
      </c>
      <c r="G54" t="e">
        <f>G55+Sheet1!P56</f>
        <v>#REF!</v>
      </c>
      <c r="H54" t="e">
        <f>H55+Sheet1!Q56</f>
        <v>#REF!</v>
      </c>
      <c r="I54" t="e">
        <f>I55+Sheet1!R56</f>
        <v>#REF!</v>
      </c>
      <c r="J54" t="e">
        <f>J55+Sheet1!S56</f>
        <v>#REF!</v>
      </c>
      <c r="K54" t="e">
        <f>K55+Sheet1!T56</f>
        <v>#REF!</v>
      </c>
      <c r="L54" t="e">
        <f>L55+Sheet1!U56</f>
        <v>#REF!</v>
      </c>
      <c r="M54" t="e">
        <f>M55+Sheet1!V56</f>
        <v>#REF!</v>
      </c>
      <c r="N54" t="e">
        <f>N55+Sheet1!W56</f>
        <v>#REF!</v>
      </c>
      <c r="O54" t="e">
        <f>O55+Sheet1!X56</f>
        <v>#REF!</v>
      </c>
      <c r="P54" t="e">
        <f>P55+Sheet1!Y56</f>
        <v>#REF!</v>
      </c>
      <c r="Q54" t="e">
        <f>Q55+Sheet1!Z56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F56+Sheet1!O57</f>
        <v>#REF!</v>
      </c>
      <c r="G55" t="e">
        <f>G56+Sheet1!P57</f>
        <v>#REF!</v>
      </c>
      <c r="H55" t="e">
        <f>H56+Sheet1!Q57</f>
        <v>#REF!</v>
      </c>
      <c r="I55" t="e">
        <f>I56+Sheet1!R57</f>
        <v>#REF!</v>
      </c>
      <c r="J55" t="e">
        <f>J56+Sheet1!S57</f>
        <v>#REF!</v>
      </c>
      <c r="K55" t="e">
        <f>K56+Sheet1!T57</f>
        <v>#REF!</v>
      </c>
      <c r="L55" t="e">
        <f>L56+Sheet1!U57</f>
        <v>#REF!</v>
      </c>
      <c r="M55" t="e">
        <f>M56+Sheet1!V57</f>
        <v>#REF!</v>
      </c>
      <c r="N55" t="e">
        <f>N56+Sheet1!W57</f>
        <v>#REF!</v>
      </c>
      <c r="O55" t="e">
        <f>O56+Sheet1!X57</f>
        <v>#REF!</v>
      </c>
      <c r="P55" t="e">
        <f>P56+Sheet1!Y57</f>
        <v>#REF!</v>
      </c>
      <c r="Q55" t="e">
        <f>Q56+Sheet1!Z57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F57+Sheet1!O58</f>
        <v>#REF!</v>
      </c>
      <c r="G56" t="e">
        <f>G57+Sheet1!P58</f>
        <v>#REF!</v>
      </c>
      <c r="H56" t="e">
        <f>H57+Sheet1!Q58</f>
        <v>#REF!</v>
      </c>
      <c r="I56" t="e">
        <f>I57+Sheet1!R58</f>
        <v>#REF!</v>
      </c>
      <c r="J56" t="e">
        <f>J57+Sheet1!S58</f>
        <v>#REF!</v>
      </c>
      <c r="K56" t="e">
        <f>K57+Sheet1!T58</f>
        <v>#REF!</v>
      </c>
      <c r="L56" t="e">
        <f>L57+Sheet1!U58</f>
        <v>#REF!</v>
      </c>
      <c r="M56" t="e">
        <f>M57+Sheet1!V58</f>
        <v>#REF!</v>
      </c>
      <c r="N56" t="e">
        <f>N57+Sheet1!W58</f>
        <v>#REF!</v>
      </c>
      <c r="O56" t="e">
        <f>O57+Sheet1!X58</f>
        <v>#REF!</v>
      </c>
      <c r="P56" t="e">
        <f>P57+Sheet1!Y58</f>
        <v>#REF!</v>
      </c>
      <c r="Q56" t="e">
        <f>Q57+Sheet1!Z58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F58+Sheet1!O59</f>
        <v>#REF!</v>
      </c>
      <c r="G57" t="e">
        <f>G58+Sheet1!P59</f>
        <v>#REF!</v>
      </c>
      <c r="H57" t="e">
        <f>H58+Sheet1!Q59</f>
        <v>#REF!</v>
      </c>
      <c r="I57" t="e">
        <f>I58+Sheet1!R59</f>
        <v>#REF!</v>
      </c>
      <c r="J57" t="e">
        <f>J58+Sheet1!S59</f>
        <v>#REF!</v>
      </c>
      <c r="K57" t="e">
        <f>K58+Sheet1!T59</f>
        <v>#REF!</v>
      </c>
      <c r="L57" t="e">
        <f>L58+Sheet1!U59</f>
        <v>#REF!</v>
      </c>
      <c r="M57" t="e">
        <f>M58+Sheet1!V59</f>
        <v>#REF!</v>
      </c>
      <c r="N57" t="e">
        <f>N58+Sheet1!W59</f>
        <v>#REF!</v>
      </c>
      <c r="O57" t="e">
        <f>O58+Sheet1!X59</f>
        <v>#REF!</v>
      </c>
      <c r="P57" t="e">
        <f>P58+Sheet1!Y59</f>
        <v>#REF!</v>
      </c>
      <c r="Q57" t="e">
        <f>Q58+Sheet1!Z59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F59+Sheet1!O60</f>
        <v>#REF!</v>
      </c>
      <c r="G58" t="e">
        <f>G59+Sheet1!P60</f>
        <v>#REF!</v>
      </c>
      <c r="H58" t="e">
        <f>H59+Sheet1!Q60</f>
        <v>#REF!</v>
      </c>
      <c r="I58" t="e">
        <f>I59+Sheet1!R60</f>
        <v>#REF!</v>
      </c>
      <c r="J58" t="e">
        <f>J59+Sheet1!S60</f>
        <v>#REF!</v>
      </c>
      <c r="K58" t="e">
        <f>K59+Sheet1!T60</f>
        <v>#REF!</v>
      </c>
      <c r="L58" t="e">
        <f>L59+Sheet1!U60</f>
        <v>#REF!</v>
      </c>
      <c r="M58" t="e">
        <f>M59+Sheet1!V60</f>
        <v>#REF!</v>
      </c>
      <c r="N58" t="e">
        <f>N59+Sheet1!W60</f>
        <v>#REF!</v>
      </c>
      <c r="O58" t="e">
        <f>O59+Sheet1!X60</f>
        <v>#REF!</v>
      </c>
      <c r="P58" t="e">
        <f>P59+Sheet1!Y60</f>
        <v>#REF!</v>
      </c>
      <c r="Q58" t="e">
        <f>Q59+Sheet1!Z60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F60+Sheet1!O61</f>
        <v>#REF!</v>
      </c>
      <c r="G59" t="e">
        <f>G60+Sheet1!P61</f>
        <v>#REF!</v>
      </c>
      <c r="H59" t="e">
        <f>H60+Sheet1!Q61</f>
        <v>#REF!</v>
      </c>
      <c r="I59" t="e">
        <f>I60+Sheet1!R61</f>
        <v>#REF!</v>
      </c>
      <c r="J59" t="e">
        <f>J60+Sheet1!S61</f>
        <v>#REF!</v>
      </c>
      <c r="K59" t="e">
        <f>K60+Sheet1!T61</f>
        <v>#REF!</v>
      </c>
      <c r="L59" t="e">
        <f>L60+Sheet1!U61</f>
        <v>#REF!</v>
      </c>
      <c r="M59" t="e">
        <f>M60+Sheet1!V61</f>
        <v>#REF!</v>
      </c>
      <c r="N59" t="e">
        <f>N60+Sheet1!W61</f>
        <v>#REF!</v>
      </c>
      <c r="O59" t="e">
        <f>O60+Sheet1!X61</f>
        <v>#REF!</v>
      </c>
      <c r="P59" t="e">
        <f>P60+Sheet1!Y61</f>
        <v>#REF!</v>
      </c>
      <c r="Q59" t="e">
        <f>Q60+Sheet1!Z61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F61+Sheet1!O62</f>
        <v>#REF!</v>
      </c>
      <c r="G60" t="e">
        <f>G61+Sheet1!P62</f>
        <v>#REF!</v>
      </c>
      <c r="H60" t="e">
        <f>H61+Sheet1!Q62</f>
        <v>#REF!</v>
      </c>
      <c r="I60" t="e">
        <f>I61+Sheet1!R62</f>
        <v>#REF!</v>
      </c>
      <c r="J60" t="e">
        <f>J61+Sheet1!S62</f>
        <v>#REF!</v>
      </c>
      <c r="K60" t="e">
        <f>K61+Sheet1!T62</f>
        <v>#REF!</v>
      </c>
      <c r="L60" t="e">
        <f>L61+Sheet1!U62</f>
        <v>#REF!</v>
      </c>
      <c r="M60" t="e">
        <f>M61+Sheet1!V62</f>
        <v>#REF!</v>
      </c>
      <c r="N60" t="e">
        <f>N61+Sheet1!W62</f>
        <v>#REF!</v>
      </c>
      <c r="O60" t="e">
        <f>O61+Sheet1!X62</f>
        <v>#REF!</v>
      </c>
      <c r="P60" t="e">
        <f>P61+Sheet1!Y62</f>
        <v>#REF!</v>
      </c>
      <c r="Q60" t="e">
        <f>Q61+Sheet1!Z62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 xml:space="preserve"> Learning from Naturally Occurring Feedback</v>
      </c>
      <c r="D61" t="str">
        <f>Sheet1!F63</f>
        <v xml:space="preserve"> Shachar DonYehiya, Leshem Choshen, Omri Abend</v>
      </c>
      <c r="E61">
        <f>Sheet1!G63</f>
        <v>2024</v>
      </c>
      <c r="F61" t="e">
        <f>F62+Sheet1!O63</f>
        <v>#REF!</v>
      </c>
      <c r="G61" t="e">
        <f>G62+Sheet1!P63</f>
        <v>#REF!</v>
      </c>
      <c r="H61" t="e">
        <f>H62+Sheet1!Q63</f>
        <v>#REF!</v>
      </c>
      <c r="I61" t="e">
        <f>I62+Sheet1!R63</f>
        <v>#REF!</v>
      </c>
      <c r="J61" t="e">
        <f>J62+Sheet1!S63</f>
        <v>#REF!</v>
      </c>
      <c r="K61" t="e">
        <f>K62+Sheet1!T63</f>
        <v>#REF!</v>
      </c>
      <c r="L61" t="e">
        <f>L62+Sheet1!U63</f>
        <v>#REF!</v>
      </c>
      <c r="M61" t="e">
        <f>M62+Sheet1!V63</f>
        <v>#REF!</v>
      </c>
      <c r="N61" t="e">
        <f>N62+Sheet1!W63</f>
        <v>#REF!</v>
      </c>
      <c r="O61" t="e">
        <f>O62+Sheet1!X63</f>
        <v>#REF!</v>
      </c>
      <c r="P61" t="e">
        <f>P62+Sheet1!Y63</f>
        <v>#REF!</v>
      </c>
      <c r="Q61" t="e">
        <f>Q62+Sheet1!Z63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F63+Sheet1!O64</f>
        <v>#REF!</v>
      </c>
      <c r="G62" t="e">
        <f>G63+Sheet1!P64</f>
        <v>#REF!</v>
      </c>
      <c r="H62" t="e">
        <f>H63+Sheet1!Q64</f>
        <v>#REF!</v>
      </c>
      <c r="I62" t="e">
        <f>I63+Sheet1!R64</f>
        <v>#REF!</v>
      </c>
      <c r="J62" t="e">
        <f>J63+Sheet1!S64</f>
        <v>#REF!</v>
      </c>
      <c r="K62" t="e">
        <f>K63+Sheet1!T64</f>
        <v>#REF!</v>
      </c>
      <c r="L62" t="e">
        <f>L63+Sheet1!U64</f>
        <v>#REF!</v>
      </c>
      <c r="M62" t="e">
        <f>M63+Sheet1!V64</f>
        <v>#REF!</v>
      </c>
      <c r="N62" t="e">
        <f>N63+Sheet1!W64</f>
        <v>#REF!</v>
      </c>
      <c r="O62" t="e">
        <f>O63+Sheet1!X64</f>
        <v>#REF!</v>
      </c>
      <c r="P62" t="e">
        <f>P63+Sheet1!Y64</f>
        <v>#REF!</v>
      </c>
      <c r="Q62" t="e">
        <f>Q63+Sheet1!Z64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F64+Sheet1!O65</f>
        <v>#REF!</v>
      </c>
      <c r="G63" t="e">
        <f>G64+Sheet1!P65</f>
        <v>#REF!</v>
      </c>
      <c r="H63" t="e">
        <f>H64+Sheet1!Q65</f>
        <v>#REF!</v>
      </c>
      <c r="I63" t="e">
        <f>I64+Sheet1!R65</f>
        <v>#REF!</v>
      </c>
      <c r="J63" t="e">
        <f>J64+Sheet1!S65</f>
        <v>#REF!</v>
      </c>
      <c r="K63" t="e">
        <f>K64+Sheet1!T65</f>
        <v>#REF!</v>
      </c>
      <c r="L63" t="e">
        <f>L64+Sheet1!U65</f>
        <v>#REF!</v>
      </c>
      <c r="M63" t="e">
        <f>M64+Sheet1!V65</f>
        <v>#REF!</v>
      </c>
      <c r="N63" t="e">
        <f>N64+Sheet1!W65</f>
        <v>#REF!</v>
      </c>
      <c r="O63" t="e">
        <f>O64+Sheet1!X65</f>
        <v>#REF!</v>
      </c>
      <c r="P63" t="e">
        <f>P64+Sheet1!Y65</f>
        <v>#REF!</v>
      </c>
      <c r="Q63" t="e">
        <f>Q64+Sheet1!Z65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F65+Sheet1!O66</f>
        <v>#REF!</v>
      </c>
      <c r="G64" t="e">
        <f>G65+Sheet1!P66</f>
        <v>#REF!</v>
      </c>
      <c r="H64" t="e">
        <f>H65+Sheet1!Q66</f>
        <v>#REF!</v>
      </c>
      <c r="I64" t="e">
        <f>I65+Sheet1!R66</f>
        <v>#REF!</v>
      </c>
      <c r="J64" t="e">
        <f>J65+Sheet1!S66</f>
        <v>#REF!</v>
      </c>
      <c r="K64" t="e">
        <f>K65+Sheet1!T66</f>
        <v>#REF!</v>
      </c>
      <c r="L64" t="e">
        <f>L65+Sheet1!U66</f>
        <v>#REF!</v>
      </c>
      <c r="M64" t="e">
        <f>M65+Sheet1!V66</f>
        <v>#REF!</v>
      </c>
      <c r="N64" t="e">
        <f>N65+Sheet1!W66</f>
        <v>#REF!</v>
      </c>
      <c r="O64" t="e">
        <f>O65+Sheet1!X66</f>
        <v>#REF!</v>
      </c>
      <c r="P64" t="e">
        <f>P65+Sheet1!Y66</f>
        <v>#REF!</v>
      </c>
      <c r="Q64" t="e">
        <f>Q65+Sheet1!Z66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F66+Sheet1!O67</f>
        <v>#REF!</v>
      </c>
      <c r="G65" t="e">
        <f>G66+Sheet1!P67</f>
        <v>#REF!</v>
      </c>
      <c r="H65" t="e">
        <f>H66+Sheet1!Q67</f>
        <v>#REF!</v>
      </c>
      <c r="I65" t="e">
        <f>I66+Sheet1!R67</f>
        <v>#REF!</v>
      </c>
      <c r="J65" t="e">
        <f>J66+Sheet1!S67</f>
        <v>#REF!</v>
      </c>
      <c r="K65" t="e">
        <f>K66+Sheet1!T67</f>
        <v>#REF!</v>
      </c>
      <c r="L65" t="e">
        <f>L66+Sheet1!U67</f>
        <v>#REF!</v>
      </c>
      <c r="M65" t="e">
        <f>M66+Sheet1!V67</f>
        <v>#REF!</v>
      </c>
      <c r="N65" t="e">
        <f>N66+Sheet1!W67</f>
        <v>#REF!</v>
      </c>
      <c r="O65" t="e">
        <f>O66+Sheet1!X67</f>
        <v>#REF!</v>
      </c>
      <c r="P65" t="e">
        <f>P66+Sheet1!Y67</f>
        <v>#REF!</v>
      </c>
      <c r="Q65" t="e">
        <f>Q66+Sheet1!Z67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F67+Sheet1!O68</f>
        <v>#REF!</v>
      </c>
      <c r="G66" t="e">
        <f>G67+Sheet1!P68</f>
        <v>#REF!</v>
      </c>
      <c r="H66" t="e">
        <f>H67+Sheet1!Q68</f>
        <v>#REF!</v>
      </c>
      <c r="I66" t="e">
        <f>I67+Sheet1!R68</f>
        <v>#REF!</v>
      </c>
      <c r="J66" t="e">
        <f>J67+Sheet1!S68</f>
        <v>#REF!</v>
      </c>
      <c r="K66" t="e">
        <f>K67+Sheet1!T68</f>
        <v>#REF!</v>
      </c>
      <c r="L66" t="e">
        <f>L67+Sheet1!U68</f>
        <v>#REF!</v>
      </c>
      <c r="M66" t="e">
        <f>M67+Sheet1!V68</f>
        <v>#REF!</v>
      </c>
      <c r="N66" t="e">
        <f>N67+Sheet1!W68</f>
        <v>#REF!</v>
      </c>
      <c r="O66" t="e">
        <f>O67+Sheet1!X68</f>
        <v>#REF!</v>
      </c>
      <c r="P66" t="e">
        <f>P67+Sheet1!Y68</f>
        <v>#REF!</v>
      </c>
      <c r="Q66" t="e">
        <f>Q67+Sheet1!Z68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F68+Sheet1!O69</f>
        <v>#REF!</v>
      </c>
      <c r="G67" t="e">
        <f>G68+Sheet1!P69</f>
        <v>#REF!</v>
      </c>
      <c r="H67" t="e">
        <f>H68+Sheet1!Q69</f>
        <v>#REF!</v>
      </c>
      <c r="I67" t="e">
        <f>I68+Sheet1!R69</f>
        <v>#REF!</v>
      </c>
      <c r="J67" t="e">
        <f>J68+Sheet1!S69</f>
        <v>#REF!</v>
      </c>
      <c r="K67" t="e">
        <f>K68+Sheet1!T69</f>
        <v>#REF!</v>
      </c>
      <c r="L67" t="e">
        <f>L68+Sheet1!U69</f>
        <v>#REF!</v>
      </c>
      <c r="M67" t="e">
        <f>M68+Sheet1!V69</f>
        <v>#REF!</v>
      </c>
      <c r="N67" t="e">
        <f>N68+Sheet1!W69</f>
        <v>#REF!</v>
      </c>
      <c r="O67" t="e">
        <f>O68+Sheet1!X69</f>
        <v>#REF!</v>
      </c>
      <c r="P67" t="e">
        <f>P68+Sheet1!Y69</f>
        <v>#REF!</v>
      </c>
      <c r="Q67" t="e">
        <f>Q68+Sheet1!Z69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F69+Sheet1!O70</f>
        <v>#REF!</v>
      </c>
      <c r="G68" t="e">
        <f>G69+Sheet1!P70</f>
        <v>#REF!</v>
      </c>
      <c r="H68" t="e">
        <f>H69+Sheet1!Q70</f>
        <v>#REF!</v>
      </c>
      <c r="I68" t="e">
        <f>I69+Sheet1!R70</f>
        <v>#REF!</v>
      </c>
      <c r="J68" t="e">
        <f>J69+Sheet1!S70</f>
        <v>#REF!</v>
      </c>
      <c r="K68" t="e">
        <f>K69+Sheet1!T70</f>
        <v>#REF!</v>
      </c>
      <c r="L68" t="e">
        <f>L69+Sheet1!U70</f>
        <v>#REF!</v>
      </c>
      <c r="M68" t="e">
        <f>M69+Sheet1!V70</f>
        <v>#REF!</v>
      </c>
      <c r="N68" t="e">
        <f>N69+Sheet1!W70</f>
        <v>#REF!</v>
      </c>
      <c r="O68" t="e">
        <f>O69+Sheet1!X70</f>
        <v>#REF!</v>
      </c>
      <c r="P68" t="e">
        <f>P69+Sheet1!Y70</f>
        <v>#REF!</v>
      </c>
      <c r="Q68" t="e">
        <f>Q69+Sheet1!Z70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F70+Sheet1!#REF!</f>
        <v>#REF!</v>
      </c>
      <c r="G69" t="e">
        <f>G70+Sheet1!#REF!</f>
        <v>#REF!</v>
      </c>
      <c r="H69" t="e">
        <f>H70+Sheet1!#REF!</f>
        <v>#REF!</v>
      </c>
      <c r="I69" t="e">
        <f>I70+Sheet1!#REF!</f>
        <v>#REF!</v>
      </c>
      <c r="J69" t="e">
        <f>J70+Sheet1!#REF!</f>
        <v>#REF!</v>
      </c>
      <c r="K69" t="e">
        <f>K70+Sheet1!#REF!</f>
        <v>#REF!</v>
      </c>
      <c r="L69" t="e">
        <f>L70+Sheet1!#REF!</f>
        <v>#REF!</v>
      </c>
      <c r="M69" t="e">
        <f>M70+Sheet1!#REF!</f>
        <v>#REF!</v>
      </c>
      <c r="N69" t="e">
        <f>N70+Sheet1!#REF!</f>
        <v>#REF!</v>
      </c>
      <c r="O69" t="e">
        <f>O70+Sheet1!#REF!</f>
        <v>#REF!</v>
      </c>
      <c r="P69" t="e">
        <f>P70+Sheet1!#REF!</f>
        <v>#REF!</v>
      </c>
      <c r="Q69" t="e">
        <f>Q70+Sheet1!#REF!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F71+Sheet1!O77</f>
        <v>#REF!</v>
      </c>
      <c r="G70" t="e">
        <f>G71+Sheet1!P77</f>
        <v>#REF!</v>
      </c>
      <c r="H70" t="e">
        <f>H71+Sheet1!Q77</f>
        <v>#REF!</v>
      </c>
      <c r="I70" t="e">
        <f>I71+Sheet1!R77</f>
        <v>#REF!</v>
      </c>
      <c r="J70" t="e">
        <f>J71+Sheet1!S77</f>
        <v>#REF!</v>
      </c>
      <c r="K70" t="e">
        <f>K71+Sheet1!T77</f>
        <v>#REF!</v>
      </c>
      <c r="L70" t="e">
        <f>L71+Sheet1!U77</f>
        <v>#REF!</v>
      </c>
      <c r="M70" t="e">
        <f>M71+Sheet1!V77</f>
        <v>#REF!</v>
      </c>
      <c r="N70" t="e">
        <f>N71+Sheet1!W77</f>
        <v>#REF!</v>
      </c>
      <c r="O70" t="e">
        <f>O71+Sheet1!X77</f>
        <v>#REF!</v>
      </c>
      <c r="P70" t="e">
        <f>P71+Sheet1!Y77</f>
        <v>#REF!</v>
      </c>
      <c r="Q70" t="e">
        <f>Q71+Sheet1!Z77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F72+Sheet1!O78</f>
        <v>#REF!</v>
      </c>
      <c r="G71" t="e">
        <f>G72+Sheet1!P78</f>
        <v>#REF!</v>
      </c>
      <c r="H71" t="e">
        <f>H72+Sheet1!Q78</f>
        <v>#REF!</v>
      </c>
      <c r="I71" t="e">
        <f>I72+Sheet1!R78</f>
        <v>#REF!</v>
      </c>
      <c r="J71" t="e">
        <f>J72+Sheet1!S78</f>
        <v>#REF!</v>
      </c>
      <c r="K71" t="e">
        <f>K72+Sheet1!T78</f>
        <v>#REF!</v>
      </c>
      <c r="L71" t="e">
        <f>L72+Sheet1!U78</f>
        <v>#REF!</v>
      </c>
      <c r="M71" t="e">
        <f>M72+Sheet1!V78</f>
        <v>#REF!</v>
      </c>
      <c r="N71" t="e">
        <f>N72+Sheet1!W78</f>
        <v>#REF!</v>
      </c>
      <c r="O71" t="e">
        <f>O72+Sheet1!X78</f>
        <v>#REF!</v>
      </c>
      <c r="P71" t="e">
        <f>P72+Sheet1!Y78</f>
        <v>#REF!</v>
      </c>
      <c r="Q71" t="e">
        <f>Q72+Sheet1!Z78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F73+Sheet1!#REF!</f>
        <v>#REF!</v>
      </c>
      <c r="G72" t="e">
        <f>G73+Sheet1!#REF!</f>
        <v>#REF!</v>
      </c>
      <c r="H72" t="e">
        <f>H73+Sheet1!#REF!</f>
        <v>#REF!</v>
      </c>
      <c r="I72" t="e">
        <f>I73+Sheet1!#REF!</f>
        <v>#REF!</v>
      </c>
      <c r="J72" t="e">
        <f>J73+Sheet1!#REF!</f>
        <v>#REF!</v>
      </c>
      <c r="K72" t="e">
        <f>K73+Sheet1!#REF!</f>
        <v>#REF!</v>
      </c>
      <c r="L72" t="e">
        <f>L73+Sheet1!#REF!</f>
        <v>#REF!</v>
      </c>
      <c r="M72" t="e">
        <f>M73+Sheet1!#REF!</f>
        <v>#REF!</v>
      </c>
      <c r="N72" t="e">
        <f>N73+Sheet1!#REF!</f>
        <v>#REF!</v>
      </c>
      <c r="O72" t="e">
        <f>O73+Sheet1!#REF!</f>
        <v>#REF!</v>
      </c>
      <c r="P72" t="e">
        <f>P73+Sheet1!#REF!</f>
        <v>#REF!</v>
      </c>
      <c r="Q72" t="e">
        <f>Q73+Sheet1!#REF!</f>
        <v>#REF!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96503-AA28-CD44-BC91-DEE88A99EE8F}">
  <dimension ref="A1:Q72"/>
  <sheetViews>
    <sheetView topLeftCell="A23" workbookViewId="0">
      <selection activeCell="B21" sqref="B2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Commulative!F2/Commulative!$A2</f>
        <v>#REF!</v>
      </c>
      <c r="G2" t="e">
        <f>Commulative!G2/Commulative!$A2</f>
        <v>#REF!</v>
      </c>
      <c r="H2" t="e">
        <f>Commulative!H2/Commulative!$A2</f>
        <v>#REF!</v>
      </c>
      <c r="I2" t="e">
        <f>Commulative!I2/Commulative!$A2</f>
        <v>#REF!</v>
      </c>
      <c r="J2" t="e">
        <f>Commulative!J2/Commulative!$A2</f>
        <v>#REF!</v>
      </c>
      <c r="K2" t="e">
        <f>Commulative!K2/Commulative!$A2</f>
        <v>#REF!</v>
      </c>
      <c r="L2" t="e">
        <f>Commulative!L2/Commulative!$A2</f>
        <v>#REF!</v>
      </c>
      <c r="M2" t="e">
        <f>Commulative!M2/Commulative!$A2</f>
        <v>#REF!</v>
      </c>
      <c r="N2" t="e">
        <f>Commulative!N2/Commulative!$A2</f>
        <v>#REF!</v>
      </c>
      <c r="O2" t="e">
        <f>Commulative!O2/Commulative!$A2</f>
        <v>#REF!</v>
      </c>
      <c r="P2" t="e">
        <f>Commulative!P2/Commulative!$A2</f>
        <v>#REF!</v>
      </c>
      <c r="Q2" t="e">
        <f>Commulative!Q2/Commulative!$A2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Commulative!F3/Commulative!$A3</f>
        <v>#REF!</v>
      </c>
      <c r="G3" t="e">
        <f>Commulative!G3/Commulative!$A3</f>
        <v>#REF!</v>
      </c>
      <c r="H3" t="e">
        <f>Commulative!H3/Commulative!$A3</f>
        <v>#REF!</v>
      </c>
      <c r="I3" t="e">
        <f>Commulative!I3/Commulative!$A3</f>
        <v>#REF!</v>
      </c>
      <c r="J3" t="e">
        <f>Commulative!J3/Commulative!$A3</f>
        <v>#REF!</v>
      </c>
      <c r="K3" t="e">
        <f>Commulative!K3/Commulative!$A3</f>
        <v>#REF!</v>
      </c>
      <c r="L3" t="e">
        <f>Commulative!L3/Commulative!$A3</f>
        <v>#REF!</v>
      </c>
      <c r="M3" t="e">
        <f>Commulative!M3/Commulative!$A3</f>
        <v>#REF!</v>
      </c>
      <c r="N3" t="e">
        <f>Commulative!N3/Commulative!$A3</f>
        <v>#REF!</v>
      </c>
      <c r="O3" t="e">
        <f>Commulative!O3/Commulative!$A3</f>
        <v>#REF!</v>
      </c>
      <c r="P3" t="e">
        <f>Commulative!P3/Commulative!$A3</f>
        <v>#REF!</v>
      </c>
      <c r="Q3" t="e">
        <f>Commulative!Q3/Commulative!$A3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Commulative!F4/Commulative!$A4</f>
        <v>#REF!</v>
      </c>
      <c r="G4" t="e">
        <f>Commulative!G4/Commulative!$A4</f>
        <v>#REF!</v>
      </c>
      <c r="H4" t="e">
        <f>Commulative!H4/Commulative!$A4</f>
        <v>#REF!</v>
      </c>
      <c r="I4" t="e">
        <f>Commulative!I4/Commulative!$A4</f>
        <v>#REF!</v>
      </c>
      <c r="J4" t="e">
        <f>Commulative!J4/Commulative!$A4</f>
        <v>#REF!</v>
      </c>
      <c r="K4" t="e">
        <f>Commulative!K4/Commulative!$A4</f>
        <v>#REF!</v>
      </c>
      <c r="L4" t="e">
        <f>Commulative!L4/Commulative!$A4</f>
        <v>#REF!</v>
      </c>
      <c r="M4" t="e">
        <f>Commulative!M4/Commulative!$A4</f>
        <v>#REF!</v>
      </c>
      <c r="N4" t="e">
        <f>Commulative!N4/Commulative!$A4</f>
        <v>#REF!</v>
      </c>
      <c r="O4" t="e">
        <f>Commulative!O4/Commulative!$A4</f>
        <v>#REF!</v>
      </c>
      <c r="P4" t="e">
        <f>Commulative!P4/Commulative!$A4</f>
        <v>#REF!</v>
      </c>
      <c r="Q4" t="e">
        <f>Commulative!Q4/Commulative!$A4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Commulative!F5/Commulative!$A5</f>
        <v>#REF!</v>
      </c>
      <c r="G5" t="e">
        <f>Commulative!G5/Commulative!$A5</f>
        <v>#REF!</v>
      </c>
      <c r="H5" t="e">
        <f>Commulative!H5/Commulative!$A5</f>
        <v>#REF!</v>
      </c>
      <c r="I5" t="e">
        <f>Commulative!I5/Commulative!$A5</f>
        <v>#REF!</v>
      </c>
      <c r="J5" t="e">
        <f>Commulative!J5/Commulative!$A5</f>
        <v>#REF!</v>
      </c>
      <c r="K5" t="e">
        <f>Commulative!K5/Commulative!$A5</f>
        <v>#REF!</v>
      </c>
      <c r="L5" t="e">
        <f>Commulative!L5/Commulative!$A5</f>
        <v>#REF!</v>
      </c>
      <c r="M5" t="e">
        <f>Commulative!M5/Commulative!$A5</f>
        <v>#REF!</v>
      </c>
      <c r="N5" t="e">
        <f>Commulative!N5/Commulative!$A5</f>
        <v>#REF!</v>
      </c>
      <c r="O5" t="e">
        <f>Commulative!O5/Commulative!$A5</f>
        <v>#REF!</v>
      </c>
      <c r="P5" t="e">
        <f>Commulative!P5/Commulative!$A5</f>
        <v>#REF!</v>
      </c>
      <c r="Q5" t="e">
        <f>Commulative!Q5/Commulative!$A5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Commulative!F6/Commulative!$A6</f>
        <v>#REF!</v>
      </c>
      <c r="G6" t="e">
        <f>Commulative!G6/Commulative!$A6</f>
        <v>#REF!</v>
      </c>
      <c r="H6" t="e">
        <f>Commulative!H6/Commulative!$A6</f>
        <v>#REF!</v>
      </c>
      <c r="I6" t="e">
        <f>Commulative!I6/Commulative!$A6</f>
        <v>#REF!</v>
      </c>
      <c r="J6" t="e">
        <f>Commulative!J6/Commulative!$A6</f>
        <v>#REF!</v>
      </c>
      <c r="K6" t="e">
        <f>Commulative!K6/Commulative!$A6</f>
        <v>#REF!</v>
      </c>
      <c r="L6" t="e">
        <f>Commulative!L6/Commulative!$A6</f>
        <v>#REF!</v>
      </c>
      <c r="M6" t="e">
        <f>Commulative!M6/Commulative!$A6</f>
        <v>#REF!</v>
      </c>
      <c r="N6" t="e">
        <f>Commulative!N6/Commulative!$A6</f>
        <v>#REF!</v>
      </c>
      <c r="O6" t="e">
        <f>Commulative!O6/Commulative!$A6</f>
        <v>#REF!</v>
      </c>
      <c r="P6" t="e">
        <f>Commulative!P6/Commulative!$A6</f>
        <v>#REF!</v>
      </c>
      <c r="Q6" t="e">
        <f>Commulative!Q6/Commulative!$A6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Commulative!F7/Commulative!$A7</f>
        <v>#REF!</v>
      </c>
      <c r="G7" t="e">
        <f>Commulative!G7/Commulative!$A7</f>
        <v>#REF!</v>
      </c>
      <c r="H7" t="e">
        <f>Commulative!H7/Commulative!$A7</f>
        <v>#REF!</v>
      </c>
      <c r="I7" t="e">
        <f>Commulative!I7/Commulative!$A7</f>
        <v>#REF!</v>
      </c>
      <c r="J7" t="e">
        <f>Commulative!J7/Commulative!$A7</f>
        <v>#REF!</v>
      </c>
      <c r="K7" t="e">
        <f>Commulative!K7/Commulative!$A7</f>
        <v>#REF!</v>
      </c>
      <c r="L7" t="e">
        <f>Commulative!L7/Commulative!$A7</f>
        <v>#REF!</v>
      </c>
      <c r="M7" t="e">
        <f>Commulative!M7/Commulative!$A7</f>
        <v>#REF!</v>
      </c>
      <c r="N7" t="e">
        <f>Commulative!N7/Commulative!$A7</f>
        <v>#REF!</v>
      </c>
      <c r="O7" t="e">
        <f>Commulative!O7/Commulative!$A7</f>
        <v>#REF!</v>
      </c>
      <c r="P7" t="e">
        <f>Commulative!P7/Commulative!$A7</f>
        <v>#REF!</v>
      </c>
      <c r="Q7" t="e">
        <f>Commulative!Q7/Commulative!$A7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Commulative!F8/Commulative!$A8</f>
        <v>#REF!</v>
      </c>
      <c r="G8" t="e">
        <f>Commulative!G8/Commulative!$A8</f>
        <v>#REF!</v>
      </c>
      <c r="H8" t="e">
        <f>Commulative!H8/Commulative!$A8</f>
        <v>#REF!</v>
      </c>
      <c r="I8" t="e">
        <f>Commulative!I8/Commulative!$A8</f>
        <v>#REF!</v>
      </c>
      <c r="J8" t="e">
        <f>Commulative!J8/Commulative!$A8</f>
        <v>#REF!</v>
      </c>
      <c r="K8" t="e">
        <f>Commulative!K8/Commulative!$A8</f>
        <v>#REF!</v>
      </c>
      <c r="L8" t="e">
        <f>Commulative!L8/Commulative!$A8</f>
        <v>#REF!</v>
      </c>
      <c r="M8" t="e">
        <f>Commulative!M8/Commulative!$A8</f>
        <v>#REF!</v>
      </c>
      <c r="N8" t="e">
        <f>Commulative!N8/Commulative!$A8</f>
        <v>#REF!</v>
      </c>
      <c r="O8" t="e">
        <f>Commulative!O8/Commulative!$A8</f>
        <v>#REF!</v>
      </c>
      <c r="P8" t="e">
        <f>Commulative!P8/Commulative!$A8</f>
        <v>#REF!</v>
      </c>
      <c r="Q8" t="e">
        <f>Commulative!Q8/Commulative!$A8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Commulative!F9/Commulative!$A9</f>
        <v>#REF!</v>
      </c>
      <c r="G9" t="e">
        <f>Commulative!G9/Commulative!$A9</f>
        <v>#REF!</v>
      </c>
      <c r="H9" t="e">
        <f>Commulative!H9/Commulative!$A9</f>
        <v>#REF!</v>
      </c>
      <c r="I9" t="e">
        <f>Commulative!I9/Commulative!$A9</f>
        <v>#REF!</v>
      </c>
      <c r="J9" t="e">
        <f>Commulative!J9/Commulative!$A9</f>
        <v>#REF!</v>
      </c>
      <c r="K9" t="e">
        <f>Commulative!K9/Commulative!$A9</f>
        <v>#REF!</v>
      </c>
      <c r="L9" t="e">
        <f>Commulative!L9/Commulative!$A9</f>
        <v>#REF!</v>
      </c>
      <c r="M9" t="e">
        <f>Commulative!M9/Commulative!$A9</f>
        <v>#REF!</v>
      </c>
      <c r="N9" t="e">
        <f>Commulative!N9/Commulative!$A9</f>
        <v>#REF!</v>
      </c>
      <c r="O9" t="e">
        <f>Commulative!O9/Commulative!$A9</f>
        <v>#REF!</v>
      </c>
      <c r="P9" t="e">
        <f>Commulative!P9/Commulative!$A9</f>
        <v>#REF!</v>
      </c>
      <c r="Q9" t="e">
        <f>Commulative!Q9/Commulative!$A9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Commulative!F10/Commulative!$A10</f>
        <v>#REF!</v>
      </c>
      <c r="G10" t="e">
        <f>Commulative!G10/Commulative!$A10</f>
        <v>#REF!</v>
      </c>
      <c r="H10" t="e">
        <f>Commulative!H10/Commulative!$A10</f>
        <v>#REF!</v>
      </c>
      <c r="I10" t="e">
        <f>Commulative!I10/Commulative!$A10</f>
        <v>#REF!</v>
      </c>
      <c r="J10" t="e">
        <f>Commulative!J10/Commulative!$A10</f>
        <v>#REF!</v>
      </c>
      <c r="K10" t="e">
        <f>Commulative!K10/Commulative!$A10</f>
        <v>#REF!</v>
      </c>
      <c r="L10" t="e">
        <f>Commulative!L10/Commulative!$A10</f>
        <v>#REF!</v>
      </c>
      <c r="M10" t="e">
        <f>Commulative!M10/Commulative!$A10</f>
        <v>#REF!</v>
      </c>
      <c r="N10" t="e">
        <f>Commulative!N10/Commulative!$A10</f>
        <v>#REF!</v>
      </c>
      <c r="O10" t="e">
        <f>Commulative!O10/Commulative!$A10</f>
        <v>#REF!</v>
      </c>
      <c r="P10" t="e">
        <f>Commulative!P10/Commulative!$A10</f>
        <v>#REF!</v>
      </c>
      <c r="Q10" t="e">
        <f>Commulative!Q10/Commulative!$A10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Commulative!F11/Commulative!$A11</f>
        <v>#REF!</v>
      </c>
      <c r="G11" t="e">
        <f>Commulative!G11/Commulative!$A11</f>
        <v>#REF!</v>
      </c>
      <c r="H11" t="e">
        <f>Commulative!H11/Commulative!$A11</f>
        <v>#REF!</v>
      </c>
      <c r="I11" t="e">
        <f>Commulative!I11/Commulative!$A11</f>
        <v>#REF!</v>
      </c>
      <c r="J11" t="e">
        <f>Commulative!J11/Commulative!$A11</f>
        <v>#REF!</v>
      </c>
      <c r="K11" t="e">
        <f>Commulative!K11/Commulative!$A11</f>
        <v>#REF!</v>
      </c>
      <c r="L11" t="e">
        <f>Commulative!L11/Commulative!$A11</f>
        <v>#REF!</v>
      </c>
      <c r="M11" t="e">
        <f>Commulative!M11/Commulative!$A11</f>
        <v>#REF!</v>
      </c>
      <c r="N11" t="e">
        <f>Commulative!N11/Commulative!$A11</f>
        <v>#REF!</v>
      </c>
      <c r="O11" t="e">
        <f>Commulative!O11/Commulative!$A11</f>
        <v>#REF!</v>
      </c>
      <c r="P11" t="e">
        <f>Commulative!P11/Commulative!$A11</f>
        <v>#REF!</v>
      </c>
      <c r="Q11" t="e">
        <f>Commulative!Q11/Commulative!$A11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Commulative!F12/Commulative!$A12</f>
        <v>#REF!</v>
      </c>
      <c r="G12" t="e">
        <f>Commulative!G12/Commulative!$A12</f>
        <v>#REF!</v>
      </c>
      <c r="H12" t="e">
        <f>Commulative!H12/Commulative!$A12</f>
        <v>#REF!</v>
      </c>
      <c r="I12" t="e">
        <f>Commulative!I12/Commulative!$A12</f>
        <v>#REF!</v>
      </c>
      <c r="J12" t="e">
        <f>Commulative!J12/Commulative!$A12</f>
        <v>#REF!</v>
      </c>
      <c r="K12" t="e">
        <f>Commulative!K12/Commulative!$A12</f>
        <v>#REF!</v>
      </c>
      <c r="L12" t="e">
        <f>Commulative!L12/Commulative!$A12</f>
        <v>#REF!</v>
      </c>
      <c r="M12" t="e">
        <f>Commulative!M12/Commulative!$A12</f>
        <v>#REF!</v>
      </c>
      <c r="N12" t="e">
        <f>Commulative!N12/Commulative!$A12</f>
        <v>#REF!</v>
      </c>
      <c r="O12" t="e">
        <f>Commulative!O12/Commulative!$A12</f>
        <v>#REF!</v>
      </c>
      <c r="P12" t="e">
        <f>Commulative!P12/Commulative!$A12</f>
        <v>#REF!</v>
      </c>
      <c r="Q12" t="e">
        <f>Commulative!Q12/Commulative!$A12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Commulative!F13/Commulative!$A13</f>
        <v>#REF!</v>
      </c>
      <c r="G13" t="e">
        <f>Commulative!G13/Commulative!$A13</f>
        <v>#REF!</v>
      </c>
      <c r="H13" t="e">
        <f>Commulative!H13/Commulative!$A13</f>
        <v>#REF!</v>
      </c>
      <c r="I13" t="e">
        <f>Commulative!I13/Commulative!$A13</f>
        <v>#REF!</v>
      </c>
      <c r="J13" t="e">
        <f>Commulative!J13/Commulative!$A13</f>
        <v>#REF!</v>
      </c>
      <c r="K13" t="e">
        <f>Commulative!K13/Commulative!$A13</f>
        <v>#REF!</v>
      </c>
      <c r="L13" t="e">
        <f>Commulative!L13/Commulative!$A13</f>
        <v>#REF!</v>
      </c>
      <c r="M13" t="e">
        <f>Commulative!M13/Commulative!$A13</f>
        <v>#REF!</v>
      </c>
      <c r="N13" t="e">
        <f>Commulative!N13/Commulative!$A13</f>
        <v>#REF!</v>
      </c>
      <c r="O13" t="e">
        <f>Commulative!O13/Commulative!$A13</f>
        <v>#REF!</v>
      </c>
      <c r="P13" t="e">
        <f>Commulative!P13/Commulative!$A13</f>
        <v>#REF!</v>
      </c>
      <c r="Q13" t="e">
        <f>Commulative!Q13/Commulative!$A13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Commulative!F14/Commulative!$A14</f>
        <v>#REF!</v>
      </c>
      <c r="G14" t="e">
        <f>Commulative!G14/Commulative!$A14</f>
        <v>#REF!</v>
      </c>
      <c r="H14" t="e">
        <f>Commulative!H14/Commulative!$A14</f>
        <v>#REF!</v>
      </c>
      <c r="I14" t="e">
        <f>Commulative!I14/Commulative!$A14</f>
        <v>#REF!</v>
      </c>
      <c r="J14" t="e">
        <f>Commulative!J14/Commulative!$A14</f>
        <v>#REF!</v>
      </c>
      <c r="K14" t="e">
        <f>Commulative!K14/Commulative!$A14</f>
        <v>#REF!</v>
      </c>
      <c r="L14" t="e">
        <f>Commulative!L14/Commulative!$A14</f>
        <v>#REF!</v>
      </c>
      <c r="M14" t="e">
        <f>Commulative!M14/Commulative!$A14</f>
        <v>#REF!</v>
      </c>
      <c r="N14" t="e">
        <f>Commulative!N14/Commulative!$A14</f>
        <v>#REF!</v>
      </c>
      <c r="O14" t="e">
        <f>Commulative!O14/Commulative!$A14</f>
        <v>#REF!</v>
      </c>
      <c r="P14" t="e">
        <f>Commulative!P14/Commulative!$A14</f>
        <v>#REF!</v>
      </c>
      <c r="Q14" t="e">
        <f>Commulative!Q14/Commulative!$A14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Commulative!F15/Commulative!$A15</f>
        <v>#REF!</v>
      </c>
      <c r="G15" t="e">
        <f>Commulative!G15/Commulative!$A15</f>
        <v>#REF!</v>
      </c>
      <c r="H15" t="e">
        <f>Commulative!H15/Commulative!$A15</f>
        <v>#REF!</v>
      </c>
      <c r="I15" t="e">
        <f>Commulative!I15/Commulative!$A15</f>
        <v>#REF!</v>
      </c>
      <c r="J15" t="e">
        <f>Commulative!J15/Commulative!$A15</f>
        <v>#REF!</v>
      </c>
      <c r="K15" t="e">
        <f>Commulative!K15/Commulative!$A15</f>
        <v>#REF!</v>
      </c>
      <c r="L15" t="e">
        <f>Commulative!L15/Commulative!$A15</f>
        <v>#REF!</v>
      </c>
      <c r="M15" t="e">
        <f>Commulative!M15/Commulative!$A15</f>
        <v>#REF!</v>
      </c>
      <c r="N15" t="e">
        <f>Commulative!N15/Commulative!$A15</f>
        <v>#REF!</v>
      </c>
      <c r="O15" t="e">
        <f>Commulative!O15/Commulative!$A15</f>
        <v>#REF!</v>
      </c>
      <c r="P15" t="e">
        <f>Commulative!P15/Commulative!$A15</f>
        <v>#REF!</v>
      </c>
      <c r="Q15" t="e">
        <f>Commulative!Q15/Commulative!$A15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Commulative!F16/Commulative!$A16</f>
        <v>#REF!</v>
      </c>
      <c r="G16" t="e">
        <f>Commulative!G16/Commulative!$A16</f>
        <v>#REF!</v>
      </c>
      <c r="H16" t="e">
        <f>Commulative!H16/Commulative!$A16</f>
        <v>#REF!</v>
      </c>
      <c r="I16" t="e">
        <f>Commulative!I16/Commulative!$A16</f>
        <v>#REF!</v>
      </c>
      <c r="J16" t="e">
        <f>Commulative!J16/Commulative!$A16</f>
        <v>#REF!</v>
      </c>
      <c r="K16" t="e">
        <f>Commulative!K16/Commulative!$A16</f>
        <v>#REF!</v>
      </c>
      <c r="L16" t="e">
        <f>Commulative!L16/Commulative!$A16</f>
        <v>#REF!</v>
      </c>
      <c r="M16" t="e">
        <f>Commulative!M16/Commulative!$A16</f>
        <v>#REF!</v>
      </c>
      <c r="N16" t="e">
        <f>Commulative!N16/Commulative!$A16</f>
        <v>#REF!</v>
      </c>
      <c r="O16" t="e">
        <f>Commulative!O16/Commulative!$A16</f>
        <v>#REF!</v>
      </c>
      <c r="P16" t="e">
        <f>Commulative!P16/Commulative!$A16</f>
        <v>#REF!</v>
      </c>
      <c r="Q16" t="e">
        <f>Commulative!Q16/Commulative!$A16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Commulative!F17/Commulative!$A17</f>
        <v>#REF!</v>
      </c>
      <c r="G17" t="e">
        <f>Commulative!G17/Commulative!$A17</f>
        <v>#REF!</v>
      </c>
      <c r="H17" t="e">
        <f>Commulative!H17/Commulative!$A17</f>
        <v>#REF!</v>
      </c>
      <c r="I17" t="e">
        <f>Commulative!I17/Commulative!$A17</f>
        <v>#REF!</v>
      </c>
      <c r="J17" t="e">
        <f>Commulative!J17/Commulative!$A17</f>
        <v>#REF!</v>
      </c>
      <c r="K17" t="e">
        <f>Commulative!K17/Commulative!$A17</f>
        <v>#REF!</v>
      </c>
      <c r="L17" t="e">
        <f>Commulative!L17/Commulative!$A17</f>
        <v>#REF!</v>
      </c>
      <c r="M17" t="e">
        <f>Commulative!M17/Commulative!$A17</f>
        <v>#REF!</v>
      </c>
      <c r="N17" t="e">
        <f>Commulative!N17/Commulative!$A17</f>
        <v>#REF!</v>
      </c>
      <c r="O17" t="e">
        <f>Commulative!O17/Commulative!$A17</f>
        <v>#REF!</v>
      </c>
      <c r="P17" t="e">
        <f>Commulative!P17/Commulative!$A17</f>
        <v>#REF!</v>
      </c>
      <c r="Q17" t="e">
        <f>Commulative!Q17/Commulative!$A17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Commulative!F18/Commulative!$A18</f>
        <v>#REF!</v>
      </c>
      <c r="G18" t="e">
        <f>Commulative!G18/Commulative!$A18</f>
        <v>#REF!</v>
      </c>
      <c r="H18" t="e">
        <f>Commulative!H18/Commulative!$A18</f>
        <v>#REF!</v>
      </c>
      <c r="I18" t="e">
        <f>Commulative!I18/Commulative!$A18</f>
        <v>#REF!</v>
      </c>
      <c r="J18" t="e">
        <f>Commulative!J18/Commulative!$A18</f>
        <v>#REF!</v>
      </c>
      <c r="K18" t="e">
        <f>Commulative!K18/Commulative!$A18</f>
        <v>#REF!</v>
      </c>
      <c r="L18" t="e">
        <f>Commulative!L18/Commulative!$A18</f>
        <v>#REF!</v>
      </c>
      <c r="M18" t="e">
        <f>Commulative!M18/Commulative!$A18</f>
        <v>#REF!</v>
      </c>
      <c r="N18" t="e">
        <f>Commulative!N18/Commulative!$A18</f>
        <v>#REF!</v>
      </c>
      <c r="O18" t="e">
        <f>Commulative!O18/Commulative!$A18</f>
        <v>#REF!</v>
      </c>
      <c r="P18" t="e">
        <f>Commulative!P18/Commulative!$A18</f>
        <v>#REF!</v>
      </c>
      <c r="Q18" t="e">
        <f>Commulative!Q18/Commulative!$A18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Commulative!F19/Commulative!$A19</f>
        <v>#REF!</v>
      </c>
      <c r="G19" t="e">
        <f>Commulative!G19/Commulative!$A19</f>
        <v>#REF!</v>
      </c>
      <c r="H19" t="e">
        <f>Commulative!H19/Commulative!$A19</f>
        <v>#REF!</v>
      </c>
      <c r="I19" t="e">
        <f>Commulative!I19/Commulative!$A19</f>
        <v>#REF!</v>
      </c>
      <c r="J19" t="e">
        <f>Commulative!J19/Commulative!$A19</f>
        <v>#REF!</v>
      </c>
      <c r="K19" t="e">
        <f>Commulative!K19/Commulative!$A19</f>
        <v>#REF!</v>
      </c>
      <c r="L19" t="e">
        <f>Commulative!L19/Commulative!$A19</f>
        <v>#REF!</v>
      </c>
      <c r="M19" t="e">
        <f>Commulative!M19/Commulative!$A19</f>
        <v>#REF!</v>
      </c>
      <c r="N19" t="e">
        <f>Commulative!N19/Commulative!$A19</f>
        <v>#REF!</v>
      </c>
      <c r="O19" t="e">
        <f>Commulative!O19/Commulative!$A19</f>
        <v>#REF!</v>
      </c>
      <c r="P19" t="e">
        <f>Commulative!P19/Commulative!$A19</f>
        <v>#REF!</v>
      </c>
      <c r="Q19" t="e">
        <f>Commulative!Q19/Commulative!$A19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Commulative!F20/Commulative!$A20</f>
        <v>#REF!</v>
      </c>
      <c r="G20" t="e">
        <f>Commulative!G20/Commulative!$A20</f>
        <v>#REF!</v>
      </c>
      <c r="H20" t="e">
        <f>Commulative!H20/Commulative!$A20</f>
        <v>#REF!</v>
      </c>
      <c r="I20" t="e">
        <f>Commulative!I20/Commulative!$A20</f>
        <v>#REF!</v>
      </c>
      <c r="J20" t="e">
        <f>Commulative!J20/Commulative!$A20</f>
        <v>#REF!</v>
      </c>
      <c r="K20" t="e">
        <f>Commulative!K20/Commulative!$A20</f>
        <v>#REF!</v>
      </c>
      <c r="L20" t="e">
        <f>Commulative!L20/Commulative!$A20</f>
        <v>#REF!</v>
      </c>
      <c r="M20" t="e">
        <f>Commulative!M20/Commulative!$A20</f>
        <v>#REF!</v>
      </c>
      <c r="N20" t="e">
        <f>Commulative!N20/Commulative!$A20</f>
        <v>#REF!</v>
      </c>
      <c r="O20" t="e">
        <f>Commulative!O20/Commulative!$A20</f>
        <v>#REF!</v>
      </c>
      <c r="P20" t="e">
        <f>Commulative!P20/Commulative!$A20</f>
        <v>#REF!</v>
      </c>
      <c r="Q20" t="e">
        <f>Commulative!Q20/Commulative!$A20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Commulative!F21/Commulative!$A21</f>
        <v>#REF!</v>
      </c>
      <c r="G21" t="e">
        <f>Commulative!G21/Commulative!$A21</f>
        <v>#REF!</v>
      </c>
      <c r="H21" t="e">
        <f>Commulative!H21/Commulative!$A21</f>
        <v>#REF!</v>
      </c>
      <c r="I21" t="e">
        <f>Commulative!I21/Commulative!$A21</f>
        <v>#REF!</v>
      </c>
      <c r="J21" t="e">
        <f>Commulative!J21/Commulative!$A21</f>
        <v>#REF!</v>
      </c>
      <c r="K21" t="e">
        <f>Commulative!K21/Commulative!$A21</f>
        <v>#REF!</v>
      </c>
      <c r="L21" t="e">
        <f>Commulative!L21/Commulative!$A21</f>
        <v>#REF!</v>
      </c>
      <c r="M21" t="e">
        <f>Commulative!M21/Commulative!$A21</f>
        <v>#REF!</v>
      </c>
      <c r="N21" t="e">
        <f>Commulative!N21/Commulative!$A21</f>
        <v>#REF!</v>
      </c>
      <c r="O21" t="e">
        <f>Commulative!O21/Commulative!$A21</f>
        <v>#REF!</v>
      </c>
      <c r="P21" t="e">
        <f>Commulative!P21/Commulative!$A21</f>
        <v>#REF!</v>
      </c>
      <c r="Q21" t="e">
        <f>Commulative!Q21/Commulative!$A21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Commulative!F22/Commulative!$A22</f>
        <v>#REF!</v>
      </c>
      <c r="G22" t="e">
        <f>Commulative!G22/Commulative!$A22</f>
        <v>#REF!</v>
      </c>
      <c r="H22" t="e">
        <f>Commulative!H22/Commulative!$A22</f>
        <v>#REF!</v>
      </c>
      <c r="I22" t="e">
        <f>Commulative!I22/Commulative!$A22</f>
        <v>#REF!</v>
      </c>
      <c r="J22" t="e">
        <f>Commulative!J22/Commulative!$A22</f>
        <v>#REF!</v>
      </c>
      <c r="K22" t="e">
        <f>Commulative!K22/Commulative!$A22</f>
        <v>#REF!</v>
      </c>
      <c r="L22" t="e">
        <f>Commulative!L22/Commulative!$A22</f>
        <v>#REF!</v>
      </c>
      <c r="M22" t="e">
        <f>Commulative!M22/Commulative!$A22</f>
        <v>#REF!</v>
      </c>
      <c r="N22" t="e">
        <f>Commulative!N22/Commulative!$A22</f>
        <v>#REF!</v>
      </c>
      <c r="O22" t="e">
        <f>Commulative!O22/Commulative!$A22</f>
        <v>#REF!</v>
      </c>
      <c r="P22" t="e">
        <f>Commulative!P22/Commulative!$A22</f>
        <v>#REF!</v>
      </c>
      <c r="Q22" t="e">
        <f>Commulative!Q22/Commulative!$A22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Commulative!F23/Commulative!$A23</f>
        <v>#REF!</v>
      </c>
      <c r="G23" t="e">
        <f>Commulative!G23/Commulative!$A23</f>
        <v>#REF!</v>
      </c>
      <c r="H23" t="e">
        <f>Commulative!H23/Commulative!$A23</f>
        <v>#REF!</v>
      </c>
      <c r="I23" t="e">
        <f>Commulative!I23/Commulative!$A23</f>
        <v>#REF!</v>
      </c>
      <c r="J23" t="e">
        <f>Commulative!J23/Commulative!$A23</f>
        <v>#REF!</v>
      </c>
      <c r="K23" t="e">
        <f>Commulative!K23/Commulative!$A23</f>
        <v>#REF!</v>
      </c>
      <c r="L23" t="e">
        <f>Commulative!L23/Commulative!$A23</f>
        <v>#REF!</v>
      </c>
      <c r="M23" t="e">
        <f>Commulative!M23/Commulative!$A23</f>
        <v>#REF!</v>
      </c>
      <c r="N23" t="e">
        <f>Commulative!N23/Commulative!$A23</f>
        <v>#REF!</v>
      </c>
      <c r="O23" t="e">
        <f>Commulative!O23/Commulative!$A23</f>
        <v>#REF!</v>
      </c>
      <c r="P23" t="e">
        <f>Commulative!P23/Commulative!$A23</f>
        <v>#REF!</v>
      </c>
      <c r="Q23" t="e">
        <f>Commulative!Q23/Commulative!$A23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Commulative!F24/Commulative!$A24</f>
        <v>#REF!</v>
      </c>
      <c r="G24" t="e">
        <f>Commulative!G24/Commulative!$A24</f>
        <v>#REF!</v>
      </c>
      <c r="H24" t="e">
        <f>Commulative!H24/Commulative!$A24</f>
        <v>#REF!</v>
      </c>
      <c r="I24" t="e">
        <f>Commulative!I24/Commulative!$A24</f>
        <v>#REF!</v>
      </c>
      <c r="J24" t="e">
        <f>Commulative!J24/Commulative!$A24</f>
        <v>#REF!</v>
      </c>
      <c r="K24" t="e">
        <f>Commulative!K24/Commulative!$A24</f>
        <v>#REF!</v>
      </c>
      <c r="L24" t="e">
        <f>Commulative!L24/Commulative!$A24</f>
        <v>#REF!</v>
      </c>
      <c r="M24" t="e">
        <f>Commulative!M24/Commulative!$A24</f>
        <v>#REF!</v>
      </c>
      <c r="N24" t="e">
        <f>Commulative!N24/Commulative!$A24</f>
        <v>#REF!</v>
      </c>
      <c r="O24" t="e">
        <f>Commulative!O24/Commulative!$A24</f>
        <v>#REF!</v>
      </c>
      <c r="P24" t="e">
        <f>Commulative!P24/Commulative!$A24</f>
        <v>#REF!</v>
      </c>
      <c r="Q24" t="e">
        <f>Commulative!Q24/Commulative!$A24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Commulative!F25/Commulative!$A25</f>
        <v>#REF!</v>
      </c>
      <c r="G25" t="e">
        <f>Commulative!G25/Commulative!$A25</f>
        <v>#REF!</v>
      </c>
      <c r="H25" t="e">
        <f>Commulative!H25/Commulative!$A25</f>
        <v>#REF!</v>
      </c>
      <c r="I25" t="e">
        <f>Commulative!I25/Commulative!$A25</f>
        <v>#REF!</v>
      </c>
      <c r="J25" t="e">
        <f>Commulative!J25/Commulative!$A25</f>
        <v>#REF!</v>
      </c>
      <c r="K25" t="e">
        <f>Commulative!K25/Commulative!$A25</f>
        <v>#REF!</v>
      </c>
      <c r="L25" t="e">
        <f>Commulative!L25/Commulative!$A25</f>
        <v>#REF!</v>
      </c>
      <c r="M25" t="e">
        <f>Commulative!M25/Commulative!$A25</f>
        <v>#REF!</v>
      </c>
      <c r="N25" t="e">
        <f>Commulative!N25/Commulative!$A25</f>
        <v>#REF!</v>
      </c>
      <c r="O25" t="e">
        <f>Commulative!O25/Commulative!$A25</f>
        <v>#REF!</v>
      </c>
      <c r="P25" t="e">
        <f>Commulative!P25/Commulative!$A25</f>
        <v>#REF!</v>
      </c>
      <c r="Q25" t="e">
        <f>Commulative!Q25/Commulative!$A25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Commulative!F26/Commulative!$A26</f>
        <v>#REF!</v>
      </c>
      <c r="G26" t="e">
        <f>Commulative!G26/Commulative!$A26</f>
        <v>#REF!</v>
      </c>
      <c r="H26" t="e">
        <f>Commulative!H26/Commulative!$A26</f>
        <v>#REF!</v>
      </c>
      <c r="I26" t="e">
        <f>Commulative!I26/Commulative!$A26</f>
        <v>#REF!</v>
      </c>
      <c r="J26" t="e">
        <f>Commulative!J26/Commulative!$A26</f>
        <v>#REF!</v>
      </c>
      <c r="K26" t="e">
        <f>Commulative!K26/Commulative!$A26</f>
        <v>#REF!</v>
      </c>
      <c r="L26" t="e">
        <f>Commulative!L26/Commulative!$A26</f>
        <v>#REF!</v>
      </c>
      <c r="M26" t="e">
        <f>Commulative!M26/Commulative!$A26</f>
        <v>#REF!</v>
      </c>
      <c r="N26" t="e">
        <f>Commulative!N26/Commulative!$A26</f>
        <v>#REF!</v>
      </c>
      <c r="O26" t="e">
        <f>Commulative!O26/Commulative!$A26</f>
        <v>#REF!</v>
      </c>
      <c r="P26" t="e">
        <f>Commulative!P26/Commulative!$A26</f>
        <v>#REF!</v>
      </c>
      <c r="Q26" t="e">
        <f>Commulative!Q26/Commulative!$A26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Commulative!F27/Commulative!$A27</f>
        <v>#REF!</v>
      </c>
      <c r="G27" t="e">
        <f>Commulative!G27/Commulative!$A27</f>
        <v>#REF!</v>
      </c>
      <c r="H27" t="e">
        <f>Commulative!H27/Commulative!$A27</f>
        <v>#REF!</v>
      </c>
      <c r="I27" t="e">
        <f>Commulative!I27/Commulative!$A27</f>
        <v>#REF!</v>
      </c>
      <c r="J27" t="e">
        <f>Commulative!J27/Commulative!$A27</f>
        <v>#REF!</v>
      </c>
      <c r="K27" t="e">
        <f>Commulative!K27/Commulative!$A27</f>
        <v>#REF!</v>
      </c>
      <c r="L27" t="e">
        <f>Commulative!L27/Commulative!$A27</f>
        <v>#REF!</v>
      </c>
      <c r="M27" t="e">
        <f>Commulative!M27/Commulative!$A27</f>
        <v>#REF!</v>
      </c>
      <c r="N27" t="e">
        <f>Commulative!N27/Commulative!$A27</f>
        <v>#REF!</v>
      </c>
      <c r="O27" t="e">
        <f>Commulative!O27/Commulative!$A27</f>
        <v>#REF!</v>
      </c>
      <c r="P27" t="e">
        <f>Commulative!P27/Commulative!$A27</f>
        <v>#REF!</v>
      </c>
      <c r="Q27" t="e">
        <f>Commulative!Q27/Commulative!$A27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Commulative!F28/Commulative!$A28</f>
        <v>#REF!</v>
      </c>
      <c r="G28" t="e">
        <f>Commulative!G28/Commulative!$A28</f>
        <v>#REF!</v>
      </c>
      <c r="H28" t="e">
        <f>Commulative!H28/Commulative!$A28</f>
        <v>#REF!</v>
      </c>
      <c r="I28" t="e">
        <f>Commulative!I28/Commulative!$A28</f>
        <v>#REF!</v>
      </c>
      <c r="J28" t="e">
        <f>Commulative!J28/Commulative!$A28</f>
        <v>#REF!</v>
      </c>
      <c r="K28" t="e">
        <f>Commulative!K28/Commulative!$A28</f>
        <v>#REF!</v>
      </c>
      <c r="L28" t="e">
        <f>Commulative!L28/Commulative!$A28</f>
        <v>#REF!</v>
      </c>
      <c r="M28" t="e">
        <f>Commulative!M28/Commulative!$A28</f>
        <v>#REF!</v>
      </c>
      <c r="N28" t="e">
        <f>Commulative!N28/Commulative!$A28</f>
        <v>#REF!</v>
      </c>
      <c r="O28" t="e">
        <f>Commulative!O28/Commulative!$A28</f>
        <v>#REF!</v>
      </c>
      <c r="P28" t="e">
        <f>Commulative!P28/Commulative!$A28</f>
        <v>#REF!</v>
      </c>
      <c r="Q28" t="e">
        <f>Commulative!Q28/Commulative!$A28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Commulative!F29/Commulative!$A29</f>
        <v>#REF!</v>
      </c>
      <c r="G29" t="e">
        <f>Commulative!G29/Commulative!$A29</f>
        <v>#REF!</v>
      </c>
      <c r="H29" t="e">
        <f>Commulative!H29/Commulative!$A29</f>
        <v>#REF!</v>
      </c>
      <c r="I29" t="e">
        <f>Commulative!I29/Commulative!$A29</f>
        <v>#REF!</v>
      </c>
      <c r="J29" t="e">
        <f>Commulative!J29/Commulative!$A29</f>
        <v>#REF!</v>
      </c>
      <c r="K29" t="e">
        <f>Commulative!K29/Commulative!$A29</f>
        <v>#REF!</v>
      </c>
      <c r="L29" t="e">
        <f>Commulative!L29/Commulative!$A29</f>
        <v>#REF!</v>
      </c>
      <c r="M29" t="e">
        <f>Commulative!M29/Commulative!$A29</f>
        <v>#REF!</v>
      </c>
      <c r="N29" t="e">
        <f>Commulative!N29/Commulative!$A29</f>
        <v>#REF!</v>
      </c>
      <c r="O29" t="e">
        <f>Commulative!O29/Commulative!$A29</f>
        <v>#REF!</v>
      </c>
      <c r="P29" t="e">
        <f>Commulative!P29/Commulative!$A29</f>
        <v>#REF!</v>
      </c>
      <c r="Q29" t="e">
        <f>Commulative!Q29/Commulative!$A29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Commulative!F30/Commulative!$A30</f>
        <v>#REF!</v>
      </c>
      <c r="G30" t="e">
        <f>Commulative!G30/Commulative!$A30</f>
        <v>#REF!</v>
      </c>
      <c r="H30" t="e">
        <f>Commulative!H30/Commulative!$A30</f>
        <v>#REF!</v>
      </c>
      <c r="I30" t="e">
        <f>Commulative!I30/Commulative!$A30</f>
        <v>#REF!</v>
      </c>
      <c r="J30" t="e">
        <f>Commulative!J30/Commulative!$A30</f>
        <v>#REF!</v>
      </c>
      <c r="K30" t="e">
        <f>Commulative!K30/Commulative!$A30</f>
        <v>#REF!</v>
      </c>
      <c r="L30" t="e">
        <f>Commulative!L30/Commulative!$A30</f>
        <v>#REF!</v>
      </c>
      <c r="M30" t="e">
        <f>Commulative!M30/Commulative!$A30</f>
        <v>#REF!</v>
      </c>
      <c r="N30" t="e">
        <f>Commulative!N30/Commulative!$A30</f>
        <v>#REF!</v>
      </c>
      <c r="O30" t="e">
        <f>Commulative!O30/Commulative!$A30</f>
        <v>#REF!</v>
      </c>
      <c r="P30" t="e">
        <f>Commulative!P30/Commulative!$A30</f>
        <v>#REF!</v>
      </c>
      <c r="Q30" t="e">
        <f>Commulative!Q30/Commulative!$A30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Commulative!F31/Commulative!$A31</f>
        <v>#REF!</v>
      </c>
      <c r="G31" t="e">
        <f>Commulative!G31/Commulative!$A31</f>
        <v>#REF!</v>
      </c>
      <c r="H31" t="e">
        <f>Commulative!H31/Commulative!$A31</f>
        <v>#REF!</v>
      </c>
      <c r="I31" t="e">
        <f>Commulative!I31/Commulative!$A31</f>
        <v>#REF!</v>
      </c>
      <c r="J31" t="e">
        <f>Commulative!J31/Commulative!$A31</f>
        <v>#REF!</v>
      </c>
      <c r="K31" t="e">
        <f>Commulative!K31/Commulative!$A31</f>
        <v>#REF!</v>
      </c>
      <c r="L31" t="e">
        <f>Commulative!L31/Commulative!$A31</f>
        <v>#REF!</v>
      </c>
      <c r="M31" t="e">
        <f>Commulative!M31/Commulative!$A31</f>
        <v>#REF!</v>
      </c>
      <c r="N31" t="e">
        <f>Commulative!N31/Commulative!$A31</f>
        <v>#REF!</v>
      </c>
      <c r="O31" t="e">
        <f>Commulative!O31/Commulative!$A31</f>
        <v>#REF!</v>
      </c>
      <c r="P31" t="e">
        <f>Commulative!P31/Commulative!$A31</f>
        <v>#REF!</v>
      </c>
      <c r="Q31" t="e">
        <f>Commulative!Q31/Commulative!$A31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Commulative!F32/Commulative!$A32</f>
        <v>#REF!</v>
      </c>
      <c r="G32" t="e">
        <f>Commulative!G32/Commulative!$A32</f>
        <v>#REF!</v>
      </c>
      <c r="H32" t="e">
        <f>Commulative!H32/Commulative!$A32</f>
        <v>#REF!</v>
      </c>
      <c r="I32" t="e">
        <f>Commulative!I32/Commulative!$A32</f>
        <v>#REF!</v>
      </c>
      <c r="J32" t="e">
        <f>Commulative!J32/Commulative!$A32</f>
        <v>#REF!</v>
      </c>
      <c r="K32" t="e">
        <f>Commulative!K32/Commulative!$A32</f>
        <v>#REF!</v>
      </c>
      <c r="L32" t="e">
        <f>Commulative!L32/Commulative!$A32</f>
        <v>#REF!</v>
      </c>
      <c r="M32" t="e">
        <f>Commulative!M32/Commulative!$A32</f>
        <v>#REF!</v>
      </c>
      <c r="N32" t="e">
        <f>Commulative!N32/Commulative!$A32</f>
        <v>#REF!</v>
      </c>
      <c r="O32" t="e">
        <f>Commulative!O32/Commulative!$A32</f>
        <v>#REF!</v>
      </c>
      <c r="P32" t="e">
        <f>Commulative!P32/Commulative!$A32</f>
        <v>#REF!</v>
      </c>
      <c r="Q32" t="e">
        <f>Commulative!Q32/Commulative!$A32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Commulative!F33/Commulative!$A33</f>
        <v>#REF!</v>
      </c>
      <c r="G33" t="e">
        <f>Commulative!G33/Commulative!$A33</f>
        <v>#REF!</v>
      </c>
      <c r="H33" t="e">
        <f>Commulative!H33/Commulative!$A33</f>
        <v>#REF!</v>
      </c>
      <c r="I33" t="e">
        <f>Commulative!I33/Commulative!$A33</f>
        <v>#REF!</v>
      </c>
      <c r="J33" t="e">
        <f>Commulative!J33/Commulative!$A33</f>
        <v>#REF!</v>
      </c>
      <c r="K33" t="e">
        <f>Commulative!K33/Commulative!$A33</f>
        <v>#REF!</v>
      </c>
      <c r="L33" t="e">
        <f>Commulative!L33/Commulative!$A33</f>
        <v>#REF!</v>
      </c>
      <c r="M33" t="e">
        <f>Commulative!M33/Commulative!$A33</f>
        <v>#REF!</v>
      </c>
      <c r="N33" t="e">
        <f>Commulative!N33/Commulative!$A33</f>
        <v>#REF!</v>
      </c>
      <c r="O33" t="e">
        <f>Commulative!O33/Commulative!$A33</f>
        <v>#REF!</v>
      </c>
      <c r="P33" t="e">
        <f>Commulative!P33/Commulative!$A33</f>
        <v>#REF!</v>
      </c>
      <c r="Q33" t="e">
        <f>Commulative!Q33/Commulative!$A33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Commulative!F34/Commulative!$A34</f>
        <v>#REF!</v>
      </c>
      <c r="G34" t="e">
        <f>Commulative!G34/Commulative!$A34</f>
        <v>#REF!</v>
      </c>
      <c r="H34" t="e">
        <f>Commulative!H34/Commulative!$A34</f>
        <v>#REF!</v>
      </c>
      <c r="I34" t="e">
        <f>Commulative!I34/Commulative!$A34</f>
        <v>#REF!</v>
      </c>
      <c r="J34" t="e">
        <f>Commulative!J34/Commulative!$A34</f>
        <v>#REF!</v>
      </c>
      <c r="K34" t="e">
        <f>Commulative!K34/Commulative!$A34</f>
        <v>#REF!</v>
      </c>
      <c r="L34" t="e">
        <f>Commulative!L34/Commulative!$A34</f>
        <v>#REF!</v>
      </c>
      <c r="M34" t="e">
        <f>Commulative!M34/Commulative!$A34</f>
        <v>#REF!</v>
      </c>
      <c r="N34" t="e">
        <f>Commulative!N34/Commulative!$A34</f>
        <v>#REF!</v>
      </c>
      <c r="O34" t="e">
        <f>Commulative!O34/Commulative!$A34</f>
        <v>#REF!</v>
      </c>
      <c r="P34" t="e">
        <f>Commulative!P34/Commulative!$A34</f>
        <v>#REF!</v>
      </c>
      <c r="Q34" t="e">
        <f>Commulative!Q34/Commulative!$A34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Commulative!F35/Commulative!$A35</f>
        <v>#REF!</v>
      </c>
      <c r="G35" t="e">
        <f>Commulative!G35/Commulative!$A35</f>
        <v>#REF!</v>
      </c>
      <c r="H35" t="e">
        <f>Commulative!H35/Commulative!$A35</f>
        <v>#REF!</v>
      </c>
      <c r="I35" t="e">
        <f>Commulative!I35/Commulative!$A35</f>
        <v>#REF!</v>
      </c>
      <c r="J35" t="e">
        <f>Commulative!J35/Commulative!$A35</f>
        <v>#REF!</v>
      </c>
      <c r="K35" t="e">
        <f>Commulative!K35/Commulative!$A35</f>
        <v>#REF!</v>
      </c>
      <c r="L35" t="e">
        <f>Commulative!L35/Commulative!$A35</f>
        <v>#REF!</v>
      </c>
      <c r="M35" t="e">
        <f>Commulative!M35/Commulative!$A35</f>
        <v>#REF!</v>
      </c>
      <c r="N35" t="e">
        <f>Commulative!N35/Commulative!$A35</f>
        <v>#REF!</v>
      </c>
      <c r="O35" t="e">
        <f>Commulative!O35/Commulative!$A35</f>
        <v>#REF!</v>
      </c>
      <c r="P35" t="e">
        <f>Commulative!P35/Commulative!$A35</f>
        <v>#REF!</v>
      </c>
      <c r="Q35" t="e">
        <f>Commulative!Q35/Commulative!$A35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Commulative!F36/Commulative!$A36</f>
        <v>#REF!</v>
      </c>
      <c r="G36" t="e">
        <f>Commulative!G36/Commulative!$A36</f>
        <v>#REF!</v>
      </c>
      <c r="H36" t="e">
        <f>Commulative!H36/Commulative!$A36</f>
        <v>#REF!</v>
      </c>
      <c r="I36" t="e">
        <f>Commulative!I36/Commulative!$A36</f>
        <v>#REF!</v>
      </c>
      <c r="J36" t="e">
        <f>Commulative!J36/Commulative!$A36</f>
        <v>#REF!</v>
      </c>
      <c r="K36" t="e">
        <f>Commulative!K36/Commulative!$A36</f>
        <v>#REF!</v>
      </c>
      <c r="L36" t="e">
        <f>Commulative!L36/Commulative!$A36</f>
        <v>#REF!</v>
      </c>
      <c r="M36" t="e">
        <f>Commulative!M36/Commulative!$A36</f>
        <v>#REF!</v>
      </c>
      <c r="N36" t="e">
        <f>Commulative!N36/Commulative!$A36</f>
        <v>#REF!</v>
      </c>
      <c r="O36" t="e">
        <f>Commulative!O36/Commulative!$A36</f>
        <v>#REF!</v>
      </c>
      <c r="P36" t="e">
        <f>Commulative!P36/Commulative!$A36</f>
        <v>#REF!</v>
      </c>
      <c r="Q36" t="e">
        <f>Commulative!Q36/Commulative!$A36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Commulative!F37/Commulative!$A37</f>
        <v>#REF!</v>
      </c>
      <c r="G37" t="e">
        <f>Commulative!G37/Commulative!$A37</f>
        <v>#REF!</v>
      </c>
      <c r="H37" t="e">
        <f>Commulative!H37/Commulative!$A37</f>
        <v>#REF!</v>
      </c>
      <c r="I37" t="e">
        <f>Commulative!I37/Commulative!$A37</f>
        <v>#REF!</v>
      </c>
      <c r="J37" t="e">
        <f>Commulative!J37/Commulative!$A37</f>
        <v>#REF!</v>
      </c>
      <c r="K37" t="e">
        <f>Commulative!K37/Commulative!$A37</f>
        <v>#REF!</v>
      </c>
      <c r="L37" t="e">
        <f>Commulative!L37/Commulative!$A37</f>
        <v>#REF!</v>
      </c>
      <c r="M37" t="e">
        <f>Commulative!M37/Commulative!$A37</f>
        <v>#REF!</v>
      </c>
      <c r="N37" t="e">
        <f>Commulative!N37/Commulative!$A37</f>
        <v>#REF!</v>
      </c>
      <c r="O37" t="e">
        <f>Commulative!O37/Commulative!$A37</f>
        <v>#REF!</v>
      </c>
      <c r="P37" t="e">
        <f>Commulative!P37/Commulative!$A37</f>
        <v>#REF!</v>
      </c>
      <c r="Q37" t="e">
        <f>Commulative!Q37/Commulative!$A37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Commulative!F38/Commulative!$A38</f>
        <v>#REF!</v>
      </c>
      <c r="G38" t="e">
        <f>Commulative!G38/Commulative!$A38</f>
        <v>#REF!</v>
      </c>
      <c r="H38" t="e">
        <f>Commulative!H38/Commulative!$A38</f>
        <v>#REF!</v>
      </c>
      <c r="I38" t="e">
        <f>Commulative!I38/Commulative!$A38</f>
        <v>#REF!</v>
      </c>
      <c r="J38" t="e">
        <f>Commulative!J38/Commulative!$A38</f>
        <v>#REF!</v>
      </c>
      <c r="K38" t="e">
        <f>Commulative!K38/Commulative!$A38</f>
        <v>#REF!</v>
      </c>
      <c r="L38" t="e">
        <f>Commulative!L38/Commulative!$A38</f>
        <v>#REF!</v>
      </c>
      <c r="M38" t="e">
        <f>Commulative!M38/Commulative!$A38</f>
        <v>#REF!</v>
      </c>
      <c r="N38" t="e">
        <f>Commulative!N38/Commulative!$A38</f>
        <v>#REF!</v>
      </c>
      <c r="O38" t="e">
        <f>Commulative!O38/Commulative!$A38</f>
        <v>#REF!</v>
      </c>
      <c r="P38" t="e">
        <f>Commulative!P38/Commulative!$A38</f>
        <v>#REF!</v>
      </c>
      <c r="Q38" t="e">
        <f>Commulative!Q38/Commulative!$A38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Commulative!F39/Commulative!$A39</f>
        <v>#REF!</v>
      </c>
      <c r="G39" t="e">
        <f>Commulative!G39/Commulative!$A39</f>
        <v>#REF!</v>
      </c>
      <c r="H39" t="e">
        <f>Commulative!H39/Commulative!$A39</f>
        <v>#REF!</v>
      </c>
      <c r="I39" t="e">
        <f>Commulative!I39/Commulative!$A39</f>
        <v>#REF!</v>
      </c>
      <c r="J39" t="e">
        <f>Commulative!J39/Commulative!$A39</f>
        <v>#REF!</v>
      </c>
      <c r="K39" t="e">
        <f>Commulative!K39/Commulative!$A39</f>
        <v>#REF!</v>
      </c>
      <c r="L39" t="e">
        <f>Commulative!L39/Commulative!$A39</f>
        <v>#REF!</v>
      </c>
      <c r="M39" t="e">
        <f>Commulative!M39/Commulative!$A39</f>
        <v>#REF!</v>
      </c>
      <c r="N39" t="e">
        <f>Commulative!N39/Commulative!$A39</f>
        <v>#REF!</v>
      </c>
      <c r="O39" t="e">
        <f>Commulative!O39/Commulative!$A39</f>
        <v>#REF!</v>
      </c>
      <c r="P39" t="e">
        <f>Commulative!P39/Commulative!$A39</f>
        <v>#REF!</v>
      </c>
      <c r="Q39" t="e">
        <f>Commulative!Q39/Commulative!$A39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Commulative!F40/Commulative!$A40</f>
        <v>#REF!</v>
      </c>
      <c r="G40" t="e">
        <f>Commulative!G40/Commulative!$A40</f>
        <v>#REF!</v>
      </c>
      <c r="H40" t="e">
        <f>Commulative!H40/Commulative!$A40</f>
        <v>#REF!</v>
      </c>
      <c r="I40" t="e">
        <f>Commulative!I40/Commulative!$A40</f>
        <v>#REF!</v>
      </c>
      <c r="J40" t="e">
        <f>Commulative!J40/Commulative!$A40</f>
        <v>#REF!</v>
      </c>
      <c r="K40" t="e">
        <f>Commulative!K40/Commulative!$A40</f>
        <v>#REF!</v>
      </c>
      <c r="L40" t="e">
        <f>Commulative!L40/Commulative!$A40</f>
        <v>#REF!</v>
      </c>
      <c r="M40" t="e">
        <f>Commulative!M40/Commulative!$A40</f>
        <v>#REF!</v>
      </c>
      <c r="N40" t="e">
        <f>Commulative!N40/Commulative!$A40</f>
        <v>#REF!</v>
      </c>
      <c r="O40" t="e">
        <f>Commulative!O40/Commulative!$A40</f>
        <v>#REF!</v>
      </c>
      <c r="P40" t="e">
        <f>Commulative!P40/Commulative!$A40</f>
        <v>#REF!</v>
      </c>
      <c r="Q40" t="e">
        <f>Commulative!Q40/Commulative!$A40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Commulative!F41/Commulative!$A41</f>
        <v>#REF!</v>
      </c>
      <c r="G41" t="e">
        <f>Commulative!G41/Commulative!$A41</f>
        <v>#REF!</v>
      </c>
      <c r="H41" t="e">
        <f>Commulative!H41/Commulative!$A41</f>
        <v>#REF!</v>
      </c>
      <c r="I41" t="e">
        <f>Commulative!I41/Commulative!$A41</f>
        <v>#REF!</v>
      </c>
      <c r="J41" t="e">
        <f>Commulative!J41/Commulative!$A41</f>
        <v>#REF!</v>
      </c>
      <c r="K41" t="e">
        <f>Commulative!K41/Commulative!$A41</f>
        <v>#REF!</v>
      </c>
      <c r="L41" t="e">
        <f>Commulative!L41/Commulative!$A41</f>
        <v>#REF!</v>
      </c>
      <c r="M41" t="e">
        <f>Commulative!M41/Commulative!$A41</f>
        <v>#REF!</v>
      </c>
      <c r="N41" t="e">
        <f>Commulative!N41/Commulative!$A41</f>
        <v>#REF!</v>
      </c>
      <c r="O41" t="e">
        <f>Commulative!O41/Commulative!$A41</f>
        <v>#REF!</v>
      </c>
      <c r="P41" t="e">
        <f>Commulative!P41/Commulative!$A41</f>
        <v>#REF!</v>
      </c>
      <c r="Q41" t="e">
        <f>Commulative!Q41/Commulative!$A41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Commulative!F42/Commulative!$A42</f>
        <v>#REF!</v>
      </c>
      <c r="G42" t="e">
        <f>Commulative!G42/Commulative!$A42</f>
        <v>#REF!</v>
      </c>
      <c r="H42" t="e">
        <f>Commulative!H42/Commulative!$A42</f>
        <v>#REF!</v>
      </c>
      <c r="I42" t="e">
        <f>Commulative!I42/Commulative!$A42</f>
        <v>#REF!</v>
      </c>
      <c r="J42" t="e">
        <f>Commulative!J42/Commulative!$A42</f>
        <v>#REF!</v>
      </c>
      <c r="K42" t="e">
        <f>Commulative!K42/Commulative!$A42</f>
        <v>#REF!</v>
      </c>
      <c r="L42" t="e">
        <f>Commulative!L42/Commulative!$A42</f>
        <v>#REF!</v>
      </c>
      <c r="M42" t="e">
        <f>Commulative!M42/Commulative!$A42</f>
        <v>#REF!</v>
      </c>
      <c r="N42" t="e">
        <f>Commulative!N42/Commulative!$A42</f>
        <v>#REF!</v>
      </c>
      <c r="O42" t="e">
        <f>Commulative!O42/Commulative!$A42</f>
        <v>#REF!</v>
      </c>
      <c r="P42" t="e">
        <f>Commulative!P42/Commulative!$A42</f>
        <v>#REF!</v>
      </c>
      <c r="Q42" t="e">
        <f>Commulative!Q42/Commulative!$A42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Commulative!F43/Commulative!$A43</f>
        <v>#REF!</v>
      </c>
      <c r="G43" t="e">
        <f>Commulative!G43/Commulative!$A43</f>
        <v>#REF!</v>
      </c>
      <c r="H43" t="e">
        <f>Commulative!H43/Commulative!$A43</f>
        <v>#REF!</v>
      </c>
      <c r="I43" t="e">
        <f>Commulative!I43/Commulative!$A43</f>
        <v>#REF!</v>
      </c>
      <c r="J43" t="e">
        <f>Commulative!J43/Commulative!$A43</f>
        <v>#REF!</v>
      </c>
      <c r="K43" t="e">
        <f>Commulative!K43/Commulative!$A43</f>
        <v>#REF!</v>
      </c>
      <c r="L43" t="e">
        <f>Commulative!L43/Commulative!$A43</f>
        <v>#REF!</v>
      </c>
      <c r="M43" t="e">
        <f>Commulative!M43/Commulative!$A43</f>
        <v>#REF!</v>
      </c>
      <c r="N43" t="e">
        <f>Commulative!N43/Commulative!$A43</f>
        <v>#REF!</v>
      </c>
      <c r="O43" t="e">
        <f>Commulative!O43/Commulative!$A43</f>
        <v>#REF!</v>
      </c>
      <c r="P43" t="e">
        <f>Commulative!P43/Commulative!$A43</f>
        <v>#REF!</v>
      </c>
      <c r="Q43" t="e">
        <f>Commulative!Q43/Commulative!$A43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Commulative!F44/Commulative!$A44</f>
        <v>#REF!</v>
      </c>
      <c r="G44" t="e">
        <f>Commulative!G44/Commulative!$A44</f>
        <v>#REF!</v>
      </c>
      <c r="H44" t="e">
        <f>Commulative!H44/Commulative!$A44</f>
        <v>#REF!</v>
      </c>
      <c r="I44" t="e">
        <f>Commulative!I44/Commulative!$A44</f>
        <v>#REF!</v>
      </c>
      <c r="J44" t="e">
        <f>Commulative!J44/Commulative!$A44</f>
        <v>#REF!</v>
      </c>
      <c r="K44" t="e">
        <f>Commulative!K44/Commulative!$A44</f>
        <v>#REF!</v>
      </c>
      <c r="L44" t="e">
        <f>Commulative!L44/Commulative!$A44</f>
        <v>#REF!</v>
      </c>
      <c r="M44" t="e">
        <f>Commulative!M44/Commulative!$A44</f>
        <v>#REF!</v>
      </c>
      <c r="N44" t="e">
        <f>Commulative!N44/Commulative!$A44</f>
        <v>#REF!</v>
      </c>
      <c r="O44" t="e">
        <f>Commulative!O44/Commulative!$A44</f>
        <v>#REF!</v>
      </c>
      <c r="P44" t="e">
        <f>Commulative!P44/Commulative!$A44</f>
        <v>#REF!</v>
      </c>
      <c r="Q44" t="e">
        <f>Commulative!Q44/Commulative!$A44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Commulative!F45/Commulative!$A45</f>
        <v>#REF!</v>
      </c>
      <c r="G45" t="e">
        <f>Commulative!G45/Commulative!$A45</f>
        <v>#REF!</v>
      </c>
      <c r="H45" t="e">
        <f>Commulative!H45/Commulative!$A45</f>
        <v>#REF!</v>
      </c>
      <c r="I45" t="e">
        <f>Commulative!I45/Commulative!$A45</f>
        <v>#REF!</v>
      </c>
      <c r="J45" t="e">
        <f>Commulative!J45/Commulative!$A45</f>
        <v>#REF!</v>
      </c>
      <c r="K45" t="e">
        <f>Commulative!K45/Commulative!$A45</f>
        <v>#REF!</v>
      </c>
      <c r="L45" t="e">
        <f>Commulative!L45/Commulative!$A45</f>
        <v>#REF!</v>
      </c>
      <c r="M45" t="e">
        <f>Commulative!M45/Commulative!$A45</f>
        <v>#REF!</v>
      </c>
      <c r="N45" t="e">
        <f>Commulative!N45/Commulative!$A45</f>
        <v>#REF!</v>
      </c>
      <c r="O45" t="e">
        <f>Commulative!O45/Commulative!$A45</f>
        <v>#REF!</v>
      </c>
      <c r="P45" t="e">
        <f>Commulative!P45/Commulative!$A45</f>
        <v>#REF!</v>
      </c>
      <c r="Q45" t="e">
        <f>Commulative!Q45/Commulative!$A45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Commulative!F46/Commulative!$A46</f>
        <v>#REF!</v>
      </c>
      <c r="G46" t="e">
        <f>Commulative!G46/Commulative!$A46</f>
        <v>#REF!</v>
      </c>
      <c r="H46" t="e">
        <f>Commulative!H46/Commulative!$A46</f>
        <v>#REF!</v>
      </c>
      <c r="I46" t="e">
        <f>Commulative!I46/Commulative!$A46</f>
        <v>#REF!</v>
      </c>
      <c r="J46" t="e">
        <f>Commulative!J46/Commulative!$A46</f>
        <v>#REF!</v>
      </c>
      <c r="K46" t="e">
        <f>Commulative!K46/Commulative!$A46</f>
        <v>#REF!</v>
      </c>
      <c r="L46" t="e">
        <f>Commulative!L46/Commulative!$A46</f>
        <v>#REF!</v>
      </c>
      <c r="M46" t="e">
        <f>Commulative!M46/Commulative!$A46</f>
        <v>#REF!</v>
      </c>
      <c r="N46" t="e">
        <f>Commulative!N46/Commulative!$A46</f>
        <v>#REF!</v>
      </c>
      <c r="O46" t="e">
        <f>Commulative!O46/Commulative!$A46</f>
        <v>#REF!</v>
      </c>
      <c r="P46" t="e">
        <f>Commulative!P46/Commulative!$A46</f>
        <v>#REF!</v>
      </c>
      <c r="Q46" t="e">
        <f>Commulative!Q46/Commulative!$A46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Commulative!F47/Commulative!$A47</f>
        <v>#REF!</v>
      </c>
      <c r="G47" t="e">
        <f>Commulative!G47/Commulative!$A47</f>
        <v>#REF!</v>
      </c>
      <c r="H47" t="e">
        <f>Commulative!H47/Commulative!$A47</f>
        <v>#REF!</v>
      </c>
      <c r="I47" t="e">
        <f>Commulative!I47/Commulative!$A47</f>
        <v>#REF!</v>
      </c>
      <c r="J47" t="e">
        <f>Commulative!J47/Commulative!$A47</f>
        <v>#REF!</v>
      </c>
      <c r="K47" t="e">
        <f>Commulative!K47/Commulative!$A47</f>
        <v>#REF!</v>
      </c>
      <c r="L47" t="e">
        <f>Commulative!L47/Commulative!$A47</f>
        <v>#REF!</v>
      </c>
      <c r="M47" t="e">
        <f>Commulative!M47/Commulative!$A47</f>
        <v>#REF!</v>
      </c>
      <c r="N47" t="e">
        <f>Commulative!N47/Commulative!$A47</f>
        <v>#REF!</v>
      </c>
      <c r="O47" t="e">
        <f>Commulative!O47/Commulative!$A47</f>
        <v>#REF!</v>
      </c>
      <c r="P47" t="e">
        <f>Commulative!P47/Commulative!$A47</f>
        <v>#REF!</v>
      </c>
      <c r="Q47" t="e">
        <f>Commulative!Q47/Commulative!$A47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Commulative!F48/Commulative!$A48</f>
        <v>#REF!</v>
      </c>
      <c r="G48" t="e">
        <f>Commulative!G48/Commulative!$A48</f>
        <v>#REF!</v>
      </c>
      <c r="H48" t="e">
        <f>Commulative!H48/Commulative!$A48</f>
        <v>#REF!</v>
      </c>
      <c r="I48" t="e">
        <f>Commulative!I48/Commulative!$A48</f>
        <v>#REF!</v>
      </c>
      <c r="J48" t="e">
        <f>Commulative!J48/Commulative!$A48</f>
        <v>#REF!</v>
      </c>
      <c r="K48" t="e">
        <f>Commulative!K48/Commulative!$A48</f>
        <v>#REF!</v>
      </c>
      <c r="L48" t="e">
        <f>Commulative!L48/Commulative!$A48</f>
        <v>#REF!</v>
      </c>
      <c r="M48" t="e">
        <f>Commulative!M48/Commulative!$A48</f>
        <v>#REF!</v>
      </c>
      <c r="N48" t="e">
        <f>Commulative!N48/Commulative!$A48</f>
        <v>#REF!</v>
      </c>
      <c r="O48" t="e">
        <f>Commulative!O48/Commulative!$A48</f>
        <v>#REF!</v>
      </c>
      <c r="P48" t="e">
        <f>Commulative!P48/Commulative!$A48</f>
        <v>#REF!</v>
      </c>
      <c r="Q48" t="e">
        <f>Commulative!Q48/Commulative!$A48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Commulative!F49/Commulative!$A49</f>
        <v>#REF!</v>
      </c>
      <c r="G49" t="e">
        <f>Commulative!G49/Commulative!$A49</f>
        <v>#REF!</v>
      </c>
      <c r="H49" t="e">
        <f>Commulative!H49/Commulative!$A49</f>
        <v>#REF!</v>
      </c>
      <c r="I49" t="e">
        <f>Commulative!I49/Commulative!$A49</f>
        <v>#REF!</v>
      </c>
      <c r="J49" t="e">
        <f>Commulative!J49/Commulative!$A49</f>
        <v>#REF!</v>
      </c>
      <c r="K49" t="e">
        <f>Commulative!K49/Commulative!$A49</f>
        <v>#REF!</v>
      </c>
      <c r="L49" t="e">
        <f>Commulative!L49/Commulative!$A49</f>
        <v>#REF!</v>
      </c>
      <c r="M49" t="e">
        <f>Commulative!M49/Commulative!$A49</f>
        <v>#REF!</v>
      </c>
      <c r="N49" t="e">
        <f>Commulative!N49/Commulative!$A49</f>
        <v>#REF!</v>
      </c>
      <c r="O49" t="e">
        <f>Commulative!O49/Commulative!$A49</f>
        <v>#REF!</v>
      </c>
      <c r="P49" t="e">
        <f>Commulative!P49/Commulative!$A49</f>
        <v>#REF!</v>
      </c>
      <c r="Q49" t="e">
        <f>Commulative!Q49/Commulative!$A49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Commulative!F50/Commulative!$A50</f>
        <v>#REF!</v>
      </c>
      <c r="G50" t="e">
        <f>Commulative!G50/Commulative!$A50</f>
        <v>#REF!</v>
      </c>
      <c r="H50" t="e">
        <f>Commulative!H50/Commulative!$A50</f>
        <v>#REF!</v>
      </c>
      <c r="I50" t="e">
        <f>Commulative!I50/Commulative!$A50</f>
        <v>#REF!</v>
      </c>
      <c r="J50" t="e">
        <f>Commulative!J50/Commulative!$A50</f>
        <v>#REF!</v>
      </c>
      <c r="K50" t="e">
        <f>Commulative!K50/Commulative!$A50</f>
        <v>#REF!</v>
      </c>
      <c r="L50" t="e">
        <f>Commulative!L50/Commulative!$A50</f>
        <v>#REF!</v>
      </c>
      <c r="M50" t="e">
        <f>Commulative!M50/Commulative!$A50</f>
        <v>#REF!</v>
      </c>
      <c r="N50" t="e">
        <f>Commulative!N50/Commulative!$A50</f>
        <v>#REF!</v>
      </c>
      <c r="O50" t="e">
        <f>Commulative!O50/Commulative!$A50</f>
        <v>#REF!</v>
      </c>
      <c r="P50" t="e">
        <f>Commulative!P50/Commulative!$A50</f>
        <v>#REF!</v>
      </c>
      <c r="Q50" t="e">
        <f>Commulative!Q50/Commulative!$A50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Commulative!F51/Commulative!$A51</f>
        <v>#REF!</v>
      </c>
      <c r="G51" t="e">
        <f>Commulative!G51/Commulative!$A51</f>
        <v>#REF!</v>
      </c>
      <c r="H51" t="e">
        <f>Commulative!H51/Commulative!$A51</f>
        <v>#REF!</v>
      </c>
      <c r="I51" t="e">
        <f>Commulative!I51/Commulative!$A51</f>
        <v>#REF!</v>
      </c>
      <c r="J51" t="e">
        <f>Commulative!J51/Commulative!$A51</f>
        <v>#REF!</v>
      </c>
      <c r="K51" t="e">
        <f>Commulative!K51/Commulative!$A51</f>
        <v>#REF!</v>
      </c>
      <c r="L51" t="e">
        <f>Commulative!L51/Commulative!$A51</f>
        <v>#REF!</v>
      </c>
      <c r="M51" t="e">
        <f>Commulative!M51/Commulative!$A51</f>
        <v>#REF!</v>
      </c>
      <c r="N51" t="e">
        <f>Commulative!N51/Commulative!$A51</f>
        <v>#REF!</v>
      </c>
      <c r="O51" t="e">
        <f>Commulative!O51/Commulative!$A51</f>
        <v>#REF!</v>
      </c>
      <c r="P51" t="e">
        <f>Commulative!P51/Commulative!$A51</f>
        <v>#REF!</v>
      </c>
      <c r="Q51" t="e">
        <f>Commulative!Q51/Commulative!$A51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Commulative!F52/Commulative!$A52</f>
        <v>#REF!</v>
      </c>
      <c r="G52" t="e">
        <f>Commulative!G52/Commulative!$A52</f>
        <v>#REF!</v>
      </c>
      <c r="H52" t="e">
        <f>Commulative!H52/Commulative!$A52</f>
        <v>#REF!</v>
      </c>
      <c r="I52" t="e">
        <f>Commulative!I52/Commulative!$A52</f>
        <v>#REF!</v>
      </c>
      <c r="J52" t="e">
        <f>Commulative!J52/Commulative!$A52</f>
        <v>#REF!</v>
      </c>
      <c r="K52" t="e">
        <f>Commulative!K52/Commulative!$A52</f>
        <v>#REF!</v>
      </c>
      <c r="L52" t="e">
        <f>Commulative!L52/Commulative!$A52</f>
        <v>#REF!</v>
      </c>
      <c r="M52" t="e">
        <f>Commulative!M52/Commulative!$A52</f>
        <v>#REF!</v>
      </c>
      <c r="N52" t="e">
        <f>Commulative!N52/Commulative!$A52</f>
        <v>#REF!</v>
      </c>
      <c r="O52" t="e">
        <f>Commulative!O52/Commulative!$A52</f>
        <v>#REF!</v>
      </c>
      <c r="P52" t="e">
        <f>Commulative!P52/Commulative!$A52</f>
        <v>#REF!</v>
      </c>
      <c r="Q52" t="e">
        <f>Commulative!Q52/Commulative!$A52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Commulative!F53/Commulative!$A53</f>
        <v>#REF!</v>
      </c>
      <c r="G53" t="e">
        <f>Commulative!G53/Commulative!$A53</f>
        <v>#REF!</v>
      </c>
      <c r="H53" t="e">
        <f>Commulative!H53/Commulative!$A53</f>
        <v>#REF!</v>
      </c>
      <c r="I53" t="e">
        <f>Commulative!I53/Commulative!$A53</f>
        <v>#REF!</v>
      </c>
      <c r="J53" t="e">
        <f>Commulative!J53/Commulative!$A53</f>
        <v>#REF!</v>
      </c>
      <c r="K53" t="e">
        <f>Commulative!K53/Commulative!$A53</f>
        <v>#REF!</v>
      </c>
      <c r="L53" t="e">
        <f>Commulative!L53/Commulative!$A53</f>
        <v>#REF!</v>
      </c>
      <c r="M53" t="e">
        <f>Commulative!M53/Commulative!$A53</f>
        <v>#REF!</v>
      </c>
      <c r="N53" t="e">
        <f>Commulative!N53/Commulative!$A53</f>
        <v>#REF!</v>
      </c>
      <c r="O53" t="e">
        <f>Commulative!O53/Commulative!$A53</f>
        <v>#REF!</v>
      </c>
      <c r="P53" t="e">
        <f>Commulative!P53/Commulative!$A53</f>
        <v>#REF!</v>
      </c>
      <c r="Q53" t="e">
        <f>Commulative!Q53/Commulative!$A53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Commulative!F54/Commulative!$A54</f>
        <v>#REF!</v>
      </c>
      <c r="G54" t="e">
        <f>Commulative!G54/Commulative!$A54</f>
        <v>#REF!</v>
      </c>
      <c r="H54" t="e">
        <f>Commulative!H54/Commulative!$A54</f>
        <v>#REF!</v>
      </c>
      <c r="I54" t="e">
        <f>Commulative!I54/Commulative!$A54</f>
        <v>#REF!</v>
      </c>
      <c r="J54" t="e">
        <f>Commulative!J54/Commulative!$A54</f>
        <v>#REF!</v>
      </c>
      <c r="K54" t="e">
        <f>Commulative!K54/Commulative!$A54</f>
        <v>#REF!</v>
      </c>
      <c r="L54" t="e">
        <f>Commulative!L54/Commulative!$A54</f>
        <v>#REF!</v>
      </c>
      <c r="M54" t="e">
        <f>Commulative!M54/Commulative!$A54</f>
        <v>#REF!</v>
      </c>
      <c r="N54" t="e">
        <f>Commulative!N54/Commulative!$A54</f>
        <v>#REF!</v>
      </c>
      <c r="O54" t="e">
        <f>Commulative!O54/Commulative!$A54</f>
        <v>#REF!</v>
      </c>
      <c r="P54" t="e">
        <f>Commulative!P54/Commulative!$A54</f>
        <v>#REF!</v>
      </c>
      <c r="Q54" t="e">
        <f>Commulative!Q54/Commulative!$A54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Commulative!F55/Commulative!$A55</f>
        <v>#REF!</v>
      </c>
      <c r="G55" t="e">
        <f>Commulative!G55/Commulative!$A55</f>
        <v>#REF!</v>
      </c>
      <c r="H55" t="e">
        <f>Commulative!H55/Commulative!$A55</f>
        <v>#REF!</v>
      </c>
      <c r="I55" t="e">
        <f>Commulative!I55/Commulative!$A55</f>
        <v>#REF!</v>
      </c>
      <c r="J55" t="e">
        <f>Commulative!J55/Commulative!$A55</f>
        <v>#REF!</v>
      </c>
      <c r="K55" t="e">
        <f>Commulative!K55/Commulative!$A55</f>
        <v>#REF!</v>
      </c>
      <c r="L55" t="e">
        <f>Commulative!L55/Commulative!$A55</f>
        <v>#REF!</v>
      </c>
      <c r="M55" t="e">
        <f>Commulative!M55/Commulative!$A55</f>
        <v>#REF!</v>
      </c>
      <c r="N55" t="e">
        <f>Commulative!N55/Commulative!$A55</f>
        <v>#REF!</v>
      </c>
      <c r="O55" t="e">
        <f>Commulative!O55/Commulative!$A55</f>
        <v>#REF!</v>
      </c>
      <c r="P55" t="e">
        <f>Commulative!P55/Commulative!$A55</f>
        <v>#REF!</v>
      </c>
      <c r="Q55" t="e">
        <f>Commulative!Q55/Commulative!$A55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Commulative!F56/Commulative!$A56</f>
        <v>#REF!</v>
      </c>
      <c r="G56" t="e">
        <f>Commulative!G56/Commulative!$A56</f>
        <v>#REF!</v>
      </c>
      <c r="H56" t="e">
        <f>Commulative!H56/Commulative!$A56</f>
        <v>#REF!</v>
      </c>
      <c r="I56" t="e">
        <f>Commulative!I56/Commulative!$A56</f>
        <v>#REF!</v>
      </c>
      <c r="J56" t="e">
        <f>Commulative!J56/Commulative!$A56</f>
        <v>#REF!</v>
      </c>
      <c r="K56" t="e">
        <f>Commulative!K56/Commulative!$A56</f>
        <v>#REF!</v>
      </c>
      <c r="L56" t="e">
        <f>Commulative!L56/Commulative!$A56</f>
        <v>#REF!</v>
      </c>
      <c r="M56" t="e">
        <f>Commulative!M56/Commulative!$A56</f>
        <v>#REF!</v>
      </c>
      <c r="N56" t="e">
        <f>Commulative!N56/Commulative!$A56</f>
        <v>#REF!</v>
      </c>
      <c r="O56" t="e">
        <f>Commulative!O56/Commulative!$A56</f>
        <v>#REF!</v>
      </c>
      <c r="P56" t="e">
        <f>Commulative!P56/Commulative!$A56</f>
        <v>#REF!</v>
      </c>
      <c r="Q56" t="e">
        <f>Commulative!Q56/Commulative!$A56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Commulative!F57/Commulative!$A57</f>
        <v>#REF!</v>
      </c>
      <c r="G57" t="e">
        <f>Commulative!G57/Commulative!$A57</f>
        <v>#REF!</v>
      </c>
      <c r="H57" t="e">
        <f>Commulative!H57/Commulative!$A57</f>
        <v>#REF!</v>
      </c>
      <c r="I57" t="e">
        <f>Commulative!I57/Commulative!$A57</f>
        <v>#REF!</v>
      </c>
      <c r="J57" t="e">
        <f>Commulative!J57/Commulative!$A57</f>
        <v>#REF!</v>
      </c>
      <c r="K57" t="e">
        <f>Commulative!K57/Commulative!$A57</f>
        <v>#REF!</v>
      </c>
      <c r="L57" t="e">
        <f>Commulative!L57/Commulative!$A57</f>
        <v>#REF!</v>
      </c>
      <c r="M57" t="e">
        <f>Commulative!M57/Commulative!$A57</f>
        <v>#REF!</v>
      </c>
      <c r="N57" t="e">
        <f>Commulative!N57/Commulative!$A57</f>
        <v>#REF!</v>
      </c>
      <c r="O57" t="e">
        <f>Commulative!O57/Commulative!$A57</f>
        <v>#REF!</v>
      </c>
      <c r="P57" t="e">
        <f>Commulative!P57/Commulative!$A57</f>
        <v>#REF!</v>
      </c>
      <c r="Q57" t="e">
        <f>Commulative!Q57/Commulative!$A57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Commulative!F58/Commulative!$A58</f>
        <v>#REF!</v>
      </c>
      <c r="G58" t="e">
        <f>Commulative!G58/Commulative!$A58</f>
        <v>#REF!</v>
      </c>
      <c r="H58" t="e">
        <f>Commulative!H58/Commulative!$A58</f>
        <v>#REF!</v>
      </c>
      <c r="I58" t="e">
        <f>Commulative!I58/Commulative!$A58</f>
        <v>#REF!</v>
      </c>
      <c r="J58" t="e">
        <f>Commulative!J58/Commulative!$A58</f>
        <v>#REF!</v>
      </c>
      <c r="K58" t="e">
        <f>Commulative!K58/Commulative!$A58</f>
        <v>#REF!</v>
      </c>
      <c r="L58" t="e">
        <f>Commulative!L58/Commulative!$A58</f>
        <v>#REF!</v>
      </c>
      <c r="M58" t="e">
        <f>Commulative!M58/Commulative!$A58</f>
        <v>#REF!</v>
      </c>
      <c r="N58" t="e">
        <f>Commulative!N58/Commulative!$A58</f>
        <v>#REF!</v>
      </c>
      <c r="O58" t="e">
        <f>Commulative!O58/Commulative!$A58</f>
        <v>#REF!</v>
      </c>
      <c r="P58" t="e">
        <f>Commulative!P58/Commulative!$A58</f>
        <v>#REF!</v>
      </c>
      <c r="Q58" t="e">
        <f>Commulative!Q58/Commulative!$A58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Commulative!F59/Commulative!$A59</f>
        <v>#REF!</v>
      </c>
      <c r="G59" t="e">
        <f>Commulative!G59/Commulative!$A59</f>
        <v>#REF!</v>
      </c>
      <c r="H59" t="e">
        <f>Commulative!H59/Commulative!$A59</f>
        <v>#REF!</v>
      </c>
      <c r="I59" t="e">
        <f>Commulative!I59/Commulative!$A59</f>
        <v>#REF!</v>
      </c>
      <c r="J59" t="e">
        <f>Commulative!J59/Commulative!$A59</f>
        <v>#REF!</v>
      </c>
      <c r="K59" t="e">
        <f>Commulative!K59/Commulative!$A59</f>
        <v>#REF!</v>
      </c>
      <c r="L59" t="e">
        <f>Commulative!L59/Commulative!$A59</f>
        <v>#REF!</v>
      </c>
      <c r="M59" t="e">
        <f>Commulative!M59/Commulative!$A59</f>
        <v>#REF!</v>
      </c>
      <c r="N59" t="e">
        <f>Commulative!N59/Commulative!$A59</f>
        <v>#REF!</v>
      </c>
      <c r="O59" t="e">
        <f>Commulative!O59/Commulative!$A59</f>
        <v>#REF!</v>
      </c>
      <c r="P59" t="e">
        <f>Commulative!P59/Commulative!$A59</f>
        <v>#REF!</v>
      </c>
      <c r="Q59" t="e">
        <f>Commulative!Q59/Commulative!$A59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Commulative!F60/Commulative!$A60</f>
        <v>#REF!</v>
      </c>
      <c r="G60" t="e">
        <f>Commulative!G60/Commulative!$A60</f>
        <v>#REF!</v>
      </c>
      <c r="H60" t="e">
        <f>Commulative!H60/Commulative!$A60</f>
        <v>#REF!</v>
      </c>
      <c r="I60" t="e">
        <f>Commulative!I60/Commulative!$A60</f>
        <v>#REF!</v>
      </c>
      <c r="J60" t="e">
        <f>Commulative!J60/Commulative!$A60</f>
        <v>#REF!</v>
      </c>
      <c r="K60" t="e">
        <f>Commulative!K60/Commulative!$A60</f>
        <v>#REF!</v>
      </c>
      <c r="L60" t="e">
        <f>Commulative!L60/Commulative!$A60</f>
        <v>#REF!</v>
      </c>
      <c r="M60" t="e">
        <f>Commulative!M60/Commulative!$A60</f>
        <v>#REF!</v>
      </c>
      <c r="N60" t="e">
        <f>Commulative!N60/Commulative!$A60</f>
        <v>#REF!</v>
      </c>
      <c r="O60" t="e">
        <f>Commulative!O60/Commulative!$A60</f>
        <v>#REF!</v>
      </c>
      <c r="P60" t="e">
        <f>Commulative!P60/Commulative!$A60</f>
        <v>#REF!</v>
      </c>
      <c r="Q60" t="e">
        <f>Commulative!Q60/Commulative!$A60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 xml:space="preserve"> Learning from Naturally Occurring Feedback</v>
      </c>
      <c r="D61" t="str">
        <f>Sheet1!F63</f>
        <v xml:space="preserve"> Shachar DonYehiya, Leshem Choshen, Omri Abend</v>
      </c>
      <c r="E61">
        <f>Sheet1!G63</f>
        <v>2024</v>
      </c>
      <c r="F61" t="e">
        <f>Commulative!F61/Commulative!$A61</f>
        <v>#REF!</v>
      </c>
      <c r="G61" t="e">
        <f>Commulative!G61/Commulative!$A61</f>
        <v>#REF!</v>
      </c>
      <c r="H61" t="e">
        <f>Commulative!H61/Commulative!$A61</f>
        <v>#REF!</v>
      </c>
      <c r="I61" t="e">
        <f>Commulative!I61/Commulative!$A61</f>
        <v>#REF!</v>
      </c>
      <c r="J61" t="e">
        <f>Commulative!J61/Commulative!$A61</f>
        <v>#REF!</v>
      </c>
      <c r="K61" t="e">
        <f>Commulative!K61/Commulative!$A61</f>
        <v>#REF!</v>
      </c>
      <c r="L61" t="e">
        <f>Commulative!L61/Commulative!$A61</f>
        <v>#REF!</v>
      </c>
      <c r="M61" t="e">
        <f>Commulative!M61/Commulative!$A61</f>
        <v>#REF!</v>
      </c>
      <c r="N61" t="e">
        <f>Commulative!N61/Commulative!$A61</f>
        <v>#REF!</v>
      </c>
      <c r="O61" t="e">
        <f>Commulative!O61/Commulative!$A61</f>
        <v>#REF!</v>
      </c>
      <c r="P61" t="e">
        <f>Commulative!P61/Commulative!$A61</f>
        <v>#REF!</v>
      </c>
      <c r="Q61" t="e">
        <f>Commulative!Q61/Commulative!$A61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Commulative!F62/Commulative!$A62</f>
        <v>#REF!</v>
      </c>
      <c r="G62" t="e">
        <f>Commulative!G62/Commulative!$A62</f>
        <v>#REF!</v>
      </c>
      <c r="H62" t="e">
        <f>Commulative!H62/Commulative!$A62</f>
        <v>#REF!</v>
      </c>
      <c r="I62" t="e">
        <f>Commulative!I62/Commulative!$A62</f>
        <v>#REF!</v>
      </c>
      <c r="J62" t="e">
        <f>Commulative!J62/Commulative!$A62</f>
        <v>#REF!</v>
      </c>
      <c r="K62" t="e">
        <f>Commulative!K62/Commulative!$A62</f>
        <v>#REF!</v>
      </c>
      <c r="L62" t="e">
        <f>Commulative!L62/Commulative!$A62</f>
        <v>#REF!</v>
      </c>
      <c r="M62" t="e">
        <f>Commulative!M62/Commulative!$A62</f>
        <v>#REF!</v>
      </c>
      <c r="N62" t="e">
        <f>Commulative!N62/Commulative!$A62</f>
        <v>#REF!</v>
      </c>
      <c r="O62" t="e">
        <f>Commulative!O62/Commulative!$A62</f>
        <v>#REF!</v>
      </c>
      <c r="P62" t="e">
        <f>Commulative!P62/Commulative!$A62</f>
        <v>#REF!</v>
      </c>
      <c r="Q62" t="e">
        <f>Commulative!Q62/Commulative!$A62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Commulative!F63/Commulative!$A63</f>
        <v>#REF!</v>
      </c>
      <c r="G63" t="e">
        <f>Commulative!G63/Commulative!$A63</f>
        <v>#REF!</v>
      </c>
      <c r="H63" t="e">
        <f>Commulative!H63/Commulative!$A63</f>
        <v>#REF!</v>
      </c>
      <c r="I63" t="e">
        <f>Commulative!I63/Commulative!$A63</f>
        <v>#REF!</v>
      </c>
      <c r="J63" t="e">
        <f>Commulative!J63/Commulative!$A63</f>
        <v>#REF!</v>
      </c>
      <c r="K63" t="e">
        <f>Commulative!K63/Commulative!$A63</f>
        <v>#REF!</v>
      </c>
      <c r="L63" t="e">
        <f>Commulative!L63/Commulative!$A63</f>
        <v>#REF!</v>
      </c>
      <c r="M63" t="e">
        <f>Commulative!M63/Commulative!$A63</f>
        <v>#REF!</v>
      </c>
      <c r="N63" t="e">
        <f>Commulative!N63/Commulative!$A63</f>
        <v>#REF!</v>
      </c>
      <c r="O63" t="e">
        <f>Commulative!O63/Commulative!$A63</f>
        <v>#REF!</v>
      </c>
      <c r="P63" t="e">
        <f>Commulative!P63/Commulative!$A63</f>
        <v>#REF!</v>
      </c>
      <c r="Q63" t="e">
        <f>Commulative!Q63/Commulative!$A63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Commulative!F64/Commulative!$A64</f>
        <v>#REF!</v>
      </c>
      <c r="G64" t="e">
        <f>Commulative!G64/Commulative!$A64</f>
        <v>#REF!</v>
      </c>
      <c r="H64" t="e">
        <f>Commulative!H64/Commulative!$A64</f>
        <v>#REF!</v>
      </c>
      <c r="I64" t="e">
        <f>Commulative!I64/Commulative!$A64</f>
        <v>#REF!</v>
      </c>
      <c r="J64" t="e">
        <f>Commulative!J64/Commulative!$A64</f>
        <v>#REF!</v>
      </c>
      <c r="K64" t="e">
        <f>Commulative!K64/Commulative!$A64</f>
        <v>#REF!</v>
      </c>
      <c r="L64" t="e">
        <f>Commulative!L64/Commulative!$A64</f>
        <v>#REF!</v>
      </c>
      <c r="M64" t="e">
        <f>Commulative!M64/Commulative!$A64</f>
        <v>#REF!</v>
      </c>
      <c r="N64" t="e">
        <f>Commulative!N64/Commulative!$A64</f>
        <v>#REF!</v>
      </c>
      <c r="O64" t="e">
        <f>Commulative!O64/Commulative!$A64</f>
        <v>#REF!</v>
      </c>
      <c r="P64" t="e">
        <f>Commulative!P64/Commulative!$A64</f>
        <v>#REF!</v>
      </c>
      <c r="Q64" t="e">
        <f>Commulative!Q64/Commulative!$A64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Commulative!F65/Commulative!$A65</f>
        <v>#REF!</v>
      </c>
      <c r="G65" t="e">
        <f>Commulative!G65/Commulative!$A65</f>
        <v>#REF!</v>
      </c>
      <c r="H65" t="e">
        <f>Commulative!H65/Commulative!$A65</f>
        <v>#REF!</v>
      </c>
      <c r="I65" t="e">
        <f>Commulative!I65/Commulative!$A65</f>
        <v>#REF!</v>
      </c>
      <c r="J65" t="e">
        <f>Commulative!J65/Commulative!$A65</f>
        <v>#REF!</v>
      </c>
      <c r="K65" t="e">
        <f>Commulative!K65/Commulative!$A65</f>
        <v>#REF!</v>
      </c>
      <c r="L65" t="e">
        <f>Commulative!L65/Commulative!$A65</f>
        <v>#REF!</v>
      </c>
      <c r="M65" t="e">
        <f>Commulative!M65/Commulative!$A65</f>
        <v>#REF!</v>
      </c>
      <c r="N65" t="e">
        <f>Commulative!N65/Commulative!$A65</f>
        <v>#REF!</v>
      </c>
      <c r="O65" t="e">
        <f>Commulative!O65/Commulative!$A65</f>
        <v>#REF!</v>
      </c>
      <c r="P65" t="e">
        <f>Commulative!P65/Commulative!$A65</f>
        <v>#REF!</v>
      </c>
      <c r="Q65" t="e">
        <f>Commulative!Q65/Commulative!$A65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Commulative!F66/Commulative!$A66</f>
        <v>#REF!</v>
      </c>
      <c r="G66" t="e">
        <f>Commulative!G66/Commulative!$A66</f>
        <v>#REF!</v>
      </c>
      <c r="H66" t="e">
        <f>Commulative!H66/Commulative!$A66</f>
        <v>#REF!</v>
      </c>
      <c r="I66" t="e">
        <f>Commulative!I66/Commulative!$A66</f>
        <v>#REF!</v>
      </c>
      <c r="J66" t="e">
        <f>Commulative!J66/Commulative!$A66</f>
        <v>#REF!</v>
      </c>
      <c r="K66" t="e">
        <f>Commulative!K66/Commulative!$A66</f>
        <v>#REF!</v>
      </c>
      <c r="L66" t="e">
        <f>Commulative!L66/Commulative!$A66</f>
        <v>#REF!</v>
      </c>
      <c r="M66" t="e">
        <f>Commulative!M66/Commulative!$A66</f>
        <v>#REF!</v>
      </c>
      <c r="N66" t="e">
        <f>Commulative!N66/Commulative!$A66</f>
        <v>#REF!</v>
      </c>
      <c r="O66" t="e">
        <f>Commulative!O66/Commulative!$A66</f>
        <v>#REF!</v>
      </c>
      <c r="P66" t="e">
        <f>Commulative!P66/Commulative!$A66</f>
        <v>#REF!</v>
      </c>
      <c r="Q66" t="e">
        <f>Commulative!Q66/Commulative!$A66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Commulative!F67/Commulative!$A67</f>
        <v>#REF!</v>
      </c>
      <c r="G67" t="e">
        <f>Commulative!G67/Commulative!$A67</f>
        <v>#REF!</v>
      </c>
      <c r="H67" t="e">
        <f>Commulative!H67/Commulative!$A67</f>
        <v>#REF!</v>
      </c>
      <c r="I67" t="e">
        <f>Commulative!I67/Commulative!$A67</f>
        <v>#REF!</v>
      </c>
      <c r="J67" t="e">
        <f>Commulative!J67/Commulative!$A67</f>
        <v>#REF!</v>
      </c>
      <c r="K67" t="e">
        <f>Commulative!K67/Commulative!$A67</f>
        <v>#REF!</v>
      </c>
      <c r="L67" t="e">
        <f>Commulative!L67/Commulative!$A67</f>
        <v>#REF!</v>
      </c>
      <c r="M67" t="e">
        <f>Commulative!M67/Commulative!$A67</f>
        <v>#REF!</v>
      </c>
      <c r="N67" t="e">
        <f>Commulative!N67/Commulative!$A67</f>
        <v>#REF!</v>
      </c>
      <c r="O67" t="e">
        <f>Commulative!O67/Commulative!$A67</f>
        <v>#REF!</v>
      </c>
      <c r="P67" t="e">
        <f>Commulative!P67/Commulative!$A67</f>
        <v>#REF!</v>
      </c>
      <c r="Q67" t="e">
        <f>Commulative!Q67/Commulative!$A67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Commulative!F68/Commulative!$A68</f>
        <v>#REF!</v>
      </c>
      <c r="G68" t="e">
        <f>Commulative!G68/Commulative!$A68</f>
        <v>#REF!</v>
      </c>
      <c r="H68" t="e">
        <f>Commulative!H68/Commulative!$A68</f>
        <v>#REF!</v>
      </c>
      <c r="I68" t="e">
        <f>Commulative!I68/Commulative!$A68</f>
        <v>#REF!</v>
      </c>
      <c r="J68" t="e">
        <f>Commulative!J68/Commulative!$A68</f>
        <v>#REF!</v>
      </c>
      <c r="K68" t="e">
        <f>Commulative!K68/Commulative!$A68</f>
        <v>#REF!</v>
      </c>
      <c r="L68" t="e">
        <f>Commulative!L68/Commulative!$A68</f>
        <v>#REF!</v>
      </c>
      <c r="M68" t="e">
        <f>Commulative!M68/Commulative!$A68</f>
        <v>#REF!</v>
      </c>
      <c r="N68" t="e">
        <f>Commulative!N68/Commulative!$A68</f>
        <v>#REF!</v>
      </c>
      <c r="O68" t="e">
        <f>Commulative!O68/Commulative!$A68</f>
        <v>#REF!</v>
      </c>
      <c r="P68" t="e">
        <f>Commulative!P68/Commulative!$A68</f>
        <v>#REF!</v>
      </c>
      <c r="Q68" t="e">
        <f>Commulative!Q68/Commulative!$A68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Commulative!F69/Commulative!$A69</f>
        <v>#REF!</v>
      </c>
      <c r="G69" t="e">
        <f>Commulative!G69/Commulative!$A69</f>
        <v>#REF!</v>
      </c>
      <c r="H69" t="e">
        <f>Commulative!H69/Commulative!$A69</f>
        <v>#REF!</v>
      </c>
      <c r="I69" t="e">
        <f>Commulative!I69/Commulative!$A69</f>
        <v>#REF!</v>
      </c>
      <c r="J69" t="e">
        <f>Commulative!J69/Commulative!$A69</f>
        <v>#REF!</v>
      </c>
      <c r="K69" t="e">
        <f>Commulative!K69/Commulative!$A69</f>
        <v>#REF!</v>
      </c>
      <c r="L69" t="e">
        <f>Commulative!L69/Commulative!$A69</f>
        <v>#REF!</v>
      </c>
      <c r="M69" t="e">
        <f>Commulative!M69/Commulative!$A69</f>
        <v>#REF!</v>
      </c>
      <c r="N69" t="e">
        <f>Commulative!N69/Commulative!$A69</f>
        <v>#REF!</v>
      </c>
      <c r="O69" t="e">
        <f>Commulative!O69/Commulative!$A69</f>
        <v>#REF!</v>
      </c>
      <c r="P69" t="e">
        <f>Commulative!P69/Commulative!$A69</f>
        <v>#REF!</v>
      </c>
      <c r="Q69" t="e">
        <f>Commulative!Q69/Commulative!$A69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Commulative!F70/Commulative!$A70</f>
        <v>#REF!</v>
      </c>
      <c r="G70" t="e">
        <f>Commulative!G70/Commulative!$A70</f>
        <v>#REF!</v>
      </c>
      <c r="H70" t="e">
        <f>Commulative!H70/Commulative!$A70</f>
        <v>#REF!</v>
      </c>
      <c r="I70" t="e">
        <f>Commulative!I70/Commulative!$A70</f>
        <v>#REF!</v>
      </c>
      <c r="J70" t="e">
        <f>Commulative!J70/Commulative!$A70</f>
        <v>#REF!</v>
      </c>
      <c r="K70" t="e">
        <f>Commulative!K70/Commulative!$A70</f>
        <v>#REF!</v>
      </c>
      <c r="L70" t="e">
        <f>Commulative!L70/Commulative!$A70</f>
        <v>#REF!</v>
      </c>
      <c r="M70" t="e">
        <f>Commulative!M70/Commulative!$A70</f>
        <v>#REF!</v>
      </c>
      <c r="N70" t="e">
        <f>Commulative!N70/Commulative!$A70</f>
        <v>#REF!</v>
      </c>
      <c r="O70" t="e">
        <f>Commulative!O70/Commulative!$A70</f>
        <v>#REF!</v>
      </c>
      <c r="P70" t="e">
        <f>Commulative!P70/Commulative!$A70</f>
        <v>#REF!</v>
      </c>
      <c r="Q70" t="e">
        <f>Commulative!Q70/Commulative!$A70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Commulative!F71/Commulative!$A71</f>
        <v>#REF!</v>
      </c>
      <c r="G71" t="e">
        <f>Commulative!G71/Commulative!$A71</f>
        <v>#REF!</v>
      </c>
      <c r="H71" t="e">
        <f>Commulative!H71/Commulative!$A71</f>
        <v>#REF!</v>
      </c>
      <c r="I71" t="e">
        <f>Commulative!I71/Commulative!$A71</f>
        <v>#REF!</v>
      </c>
      <c r="J71" t="e">
        <f>Commulative!J71/Commulative!$A71</f>
        <v>#REF!</v>
      </c>
      <c r="K71" t="e">
        <f>Commulative!K71/Commulative!$A71</f>
        <v>#REF!</v>
      </c>
      <c r="L71" t="e">
        <f>Commulative!L71/Commulative!$A71</f>
        <v>#REF!</v>
      </c>
      <c r="M71" t="e">
        <f>Commulative!M71/Commulative!$A71</f>
        <v>#REF!</v>
      </c>
      <c r="N71" t="e">
        <f>Commulative!N71/Commulative!$A71</f>
        <v>#REF!</v>
      </c>
      <c r="O71" t="e">
        <f>Commulative!O71/Commulative!$A71</f>
        <v>#REF!</v>
      </c>
      <c r="P71" t="e">
        <f>Commulative!P71/Commulative!$A71</f>
        <v>#REF!</v>
      </c>
      <c r="Q71" t="e">
        <f>Commulative!Q71/Commulative!$A71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Commulative!F72/Commulative!$A72</f>
        <v>#REF!</v>
      </c>
      <c r="G72" t="e">
        <f>Commulative!G72/Commulative!$A72</f>
        <v>#REF!</v>
      </c>
      <c r="H72" t="e">
        <f>Commulative!H72/Commulative!$A72</f>
        <v>#REF!</v>
      </c>
      <c r="I72" t="e">
        <f>Commulative!I72/Commulative!$A72</f>
        <v>#REF!</v>
      </c>
      <c r="J72" t="e">
        <f>Commulative!J72/Commulative!$A72</f>
        <v>#REF!</v>
      </c>
      <c r="K72" t="e">
        <f>Commulative!K72/Commulative!$A72</f>
        <v>#REF!</v>
      </c>
      <c r="L72" t="e">
        <f>Commulative!L72/Commulative!$A72</f>
        <v>#REF!</v>
      </c>
      <c r="M72" t="e">
        <f>Commulative!M72/Commulative!$A72</f>
        <v>#REF!</v>
      </c>
      <c r="N72" t="e">
        <f>Commulative!N72/Commulative!$A72</f>
        <v>#REF!</v>
      </c>
      <c r="O72" t="e">
        <f>Commulative!O72/Commulative!$A72</f>
        <v>#REF!</v>
      </c>
      <c r="P72" t="e">
        <f>Commulative!P72/Commulative!$A72</f>
        <v>#REF!</v>
      </c>
      <c r="Q72" t="e">
        <f>Commulative!Q72/Commulative!$A72</f>
        <v>#REF!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Commulative</vt:lpstr>
      <vt:lpstr>Normalized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LESHEM CHOSHEN</dc:creator>
  <cp:lastModifiedBy>LESHEM CHOSHEN</cp:lastModifiedBy>
  <dcterms:created xsi:type="dcterms:W3CDTF">2024-08-21T02:00:05Z</dcterms:created>
  <dcterms:modified xsi:type="dcterms:W3CDTF">2026-02-20T22:54:01Z</dcterms:modified>
</cp:coreProperties>
</file>