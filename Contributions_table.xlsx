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3.95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Lucida Grande"/>
      <family val="2"/>
      <b val="1"/>
      <color rgb="FF000000"/>
      <sz val="21.6"/>
    </font>
    <font>
      <name val="Var(--vscode-repl-font-family)"/>
      <color rgb="FF3794FF"/>
      <sz val="13"/>
    </font>
    <font>
      <name val="Menlo"/>
      <family val="2"/>
      <color rgb="FFCCCCCC"/>
      <sz val="12"/>
    </font>
    <font>
      <name val="Arial"/>
      <family val="2"/>
      <color rgb="FF222222"/>
      <sz val="13"/>
    </font>
    <font>
      <name val="Monaco"/>
      <family val="2"/>
      <color rgb="FFCE9178"/>
      <sz val="12"/>
    </font>
    <font>
      <name val="Menlo"/>
      <family val="2"/>
      <color rgb="FF4EC9B0"/>
      <sz val="12"/>
    </font>
    <font>
      <name val="Arial"/>
      <family val="2"/>
      <color rgb="FF222222"/>
      <sz val="12"/>
    </font>
    <font>
      <name val="Aptos Narrow"/>
      <i val="1"/>
      <color theme="1"/>
      <sz val="12"/>
      <scheme val="minor"/>
    </font>
    <font>
      <name val="NexusSerifWebPro"/>
      <color rgb="FF222222"/>
      <sz val="2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1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openreview.net/profile?email=leshem.choshen%40mail.huji.ac.il" TargetMode="External" Id="rId1"/><Relationship Type="http://schemas.openxmlformats.org/officeDocument/2006/relationships/hyperlink" Target="https://scholar.google.com/citations?view_op=view_citation&amp;hl=en&amp;user=8b8IhUYAAAAJ&amp;sortby=pubdate&amp;citation_for_view=8b8IhUYAAAAJ:ULOm3_A8WrAC" TargetMode="External" Id="rId2"/><Relationship Type="http://schemas.openxmlformats.org/officeDocument/2006/relationships/hyperlink" Target="https://scholar.google.com/citations?view_op=view_citation&amp;hl=en&amp;user=8b8IhUYAAAAJ&amp;sortby=pubdate&amp;citation_for_view=8b8IhUYAAAAJ:YOwf2qJgpHMC" TargetMode="External" Id="rId3"/><Relationship Type="http://schemas.openxmlformats.org/officeDocument/2006/relationships/hyperlink" Target="https://arxiv.org/abs/2204.03044" TargetMode="External" Id="rId4"/><Relationship Type="http://schemas.openxmlformats.org/officeDocument/2006/relationships/hyperlink" Target="https://scholar.google.com/citations?view_op=view_citation&amp;hl=en&amp;user=8b8IhUYAAAAJ&amp;sortby=pubdate&amp;citation_for_view=8b8IhUYAAAAJ:qxL8FJ1GzNcC" TargetMode="External" Id="rId5"/><Relationship Type="http://schemas.openxmlformats.org/officeDocument/2006/relationships/hyperlink" Target="https://scholar.google.co.il/citations?view_op=view_citation&amp;hl=ar&amp;user=8b8IhUYAAAAJ&amp;cstart=20&amp;pagesize=80&amp;citation_for_view=8b8IhUYAAAAJ:9ZlFYXVOiuMC" TargetMode="External" Id="rId6"/><Relationship Type="http://schemas.openxmlformats.org/officeDocument/2006/relationships/hyperlink" Target="https://openreview.net/forum?id=jvNVmkGxiU&amp;referrer=%5BAuthor%20Console%5D(%2Fgroup%3Fid%3DEMNLP%2F2023%2FConference%2FAuthors%23your-submissions)" TargetMode="External" Id="rId7"/><Relationship Type="http://schemas.openxmlformats.org/officeDocument/2006/relationships/hyperlink" Target="https://arxiv.org/abs/2407.21530" TargetMode="External" Id="rId8"/><Relationship Type="http://schemas.openxmlformats.org/officeDocument/2006/relationships/hyperlink" Target="https://scholar.google.co.il/citations?view_op=view_citation&amp;hl=ar&amp;user=n9iywfAAAAAJ&amp;citation_for_view=n9iywfAAAAAJ:Y0pCki6q_DkC" TargetMode="External" Id="rId9"/><Relationship Type="http://schemas.openxmlformats.org/officeDocument/2006/relationships/hyperlink" Target="https://arxiv.org/abs/2402.16842" TargetMode="External" Id="rId10"/><Relationship Type="http://schemas.openxmlformats.org/officeDocument/2006/relationships/hyperlink" Target="https://arxiv.org/abs/2402.14992" TargetMode="External" Id="rId11"/><Relationship Type="http://schemas.openxmlformats.org/officeDocument/2006/relationships/hyperlink" Target="https://arxiv.org/abs/2404.18923" TargetMode="External" Id="rId12"/><Relationship Type="http://schemas.openxmlformats.org/officeDocument/2006/relationships/hyperlink" Target="https://arxiv.org/abs/2401.14019" TargetMode="External" Id="rId13"/><Relationship Type="http://schemas.openxmlformats.org/officeDocument/2006/relationships/hyperlink" Target="https://arxiv.org/abs/2402.07891" TargetMode="External" Id="rId14"/><Relationship Type="http://schemas.openxmlformats.org/officeDocument/2006/relationships/hyperlink" Target="https://arxiv.org/abs/2408.07057" TargetMode="External" Id="rId15"/><Relationship Type="http://schemas.openxmlformats.org/officeDocument/2006/relationships/hyperlink" Target="https://arxiv.org/abs/2405.09605" TargetMode="External" Id="rId16"/><Relationship Type="http://schemas.openxmlformats.org/officeDocument/2006/relationships/hyperlink" Target="https://arxiv.org/abs/2405.09605" TargetMode="External" Id="rId17"/><Relationship Type="http://schemas.openxmlformats.org/officeDocument/2006/relationships/hyperlink" Target="https://arxiv.org/abs/2405.17202" TargetMode="External" Id="rId18"/><Relationship Type="http://schemas.openxmlformats.org/officeDocument/2006/relationships/hyperlink" Target="https://arxiv.org/abs/2404.00459" TargetMode="External" Id="rId19"/><Relationship Type="http://schemas.openxmlformats.org/officeDocument/2006/relationships/hyperlink" Target="https://arxiv.org/abs/2404.15198" TargetMode="External" Id="rId20"/><Relationship Type="http://schemas.openxmlformats.org/officeDocument/2006/relationships/hyperlink" Target="https://scholar.google.com/citations?view_op=view_citation&amp;hl=en&amp;user=8b8IhUYAAAAJ&amp;sortby=pubdate&amp;citation_for_view=8b8IhUYAAAAJ:ZHo1McVdvXMC" TargetMode="External" Id="rId21"/><Relationship Type="http://schemas.openxmlformats.org/officeDocument/2006/relationships/hyperlink" Target="https://scholar.google.com/citations?view_op=view_citation&amp;hl=en&amp;user=8b8IhUYAAAAJ&amp;sortby=pubdate&amp;citation_for_view=8b8IhUYAAAAJ:3s1wT3WcHBgC" TargetMode="External" Id="rId22"/><Relationship Type="http://schemas.openxmlformats.org/officeDocument/2006/relationships/hyperlink" Target="https://arxiv.org/abs/2408.08291" TargetMode="External" Id="rId23"/><Relationship Type="http://schemas.openxmlformats.org/officeDocument/2006/relationships/hyperlink" Target="https://arxiv.org/abs/2407.10944" TargetMode="External" Id="rId24"/><Relationship Type="http://schemas.openxmlformats.org/officeDocument/2006/relationships/hyperlink" Target="https://scholar.google.com/citations?view_op=view_citation&amp;hl=en&amp;user=8b8IhUYAAAAJ&amp;cstart=20&amp;pagesize=80&amp;sortby=pubdate&amp;citation_for_view=8b8IhUYAAAAJ:uWQEDVKXjbEC" TargetMode="External" Id="rId25"/><Relationship Type="http://schemas.openxmlformats.org/officeDocument/2006/relationships/hyperlink" Target="https://arxiv.org/abs/2407.13696" TargetMode="External" Id="rId26"/><Relationship Type="http://schemas.openxmlformats.org/officeDocument/2006/relationships/hyperlink" Target="https://arxiv.org/abs/2407.00066" TargetMode="External" Id="rId27"/><Relationship Type="http://schemas.openxmlformats.org/officeDocument/2006/relationships/hyperlink" Target="https://osf.io/preprints/psyarxiv/rfwgd" TargetMode="External" Id="rId28"/><Relationship Type="http://schemas.openxmlformats.org/officeDocument/2006/relationships/hyperlink" Target="https://openreview.net/forum?id=rcFyU93Oa7&amp;referrer=%5BAuthor%20Console%5D(%2Fgroup%3Fid%3DEMNLP%2F2023%2FConference%2FAuthors%23your-submissions)" TargetMode="External" Id="rId29"/><Relationship Type="http://schemas.openxmlformats.org/officeDocument/2006/relationships/hyperlink" Target="https://scholar.google.com/citations?view_op=view_citation&amp;hl=en&amp;user=8b8IhUYAAAAJ&amp;sortby=pubdate&amp;citation_for_view=8b8IhUYAAAAJ:zA6iFVUQeVQC" TargetMode="External" Id="rId30"/><Relationship Type="http://schemas.openxmlformats.org/officeDocument/2006/relationships/hyperlink" Target="https://scholar.google.com/citations?view_op=view_citation&amp;hl=en&amp;user=8b8IhUYAAAAJ&amp;cstart=20&amp;pagesize=80&amp;citation_for_view=8b8IhUYAAAAJ:j3f4tGmQtD8C" TargetMode="External" Id="rId31"/><Relationship Type="http://schemas.openxmlformats.org/officeDocument/2006/relationships/hyperlink" Target="https://arxiv.org/abs/2407.13696" TargetMode="External" Id="rId32"/><Relationship Type="http://schemas.openxmlformats.org/officeDocument/2006/relationships/hyperlink" Target="https://scholar.google.com/citations?view_op=view_citation&amp;hl=en&amp;user=8b8IhUYAAAAJ&amp;sortby=pubdate&amp;citation_for_view=8b8IhUYAAAAJ:D03iK_w7-QYC" TargetMode="External" Id="rId33"/><Relationship Type="http://schemas.openxmlformats.org/officeDocument/2006/relationships/hyperlink" Target="https://scholar.google.com/citations?view_op=view_citation&amp;hl=en&amp;user=8b8IhUYAAAAJ&amp;cstart=20&amp;pagesize=80&amp;sortby=pubdate&amp;citation_for_view=8b8IhUYAAAAJ:HoB7MX3m0LUC" TargetMode="External" Id="rId34"/><Relationship Type="http://schemas.openxmlformats.org/officeDocument/2006/relationships/hyperlink" Target="https://scholar.google.com/citations?view_op=view_citation&amp;hl=en&amp;user=8b8IhUYAAAAJ&amp;sortby=pubdate&amp;citation_for_view=8b8IhUYAAAAJ:abG-DnoFyZgC" TargetMode="External" Id="rId35"/><Relationship Type="http://schemas.openxmlformats.org/officeDocument/2006/relationships/hyperlink" Target="https://scholar.google.com/citations?view_op=view_citation&amp;hl=en&amp;user=8b8IhUYAAAAJ&amp;sortby=pubdate&amp;citation_for_view=8b8IhUYAAAAJ:xtRiw3GOFMkC" TargetMode="External" Id="rId36"/><Relationship Type="http://schemas.openxmlformats.org/officeDocument/2006/relationships/hyperlink" Target="https://scholar.google.com/citations?view_op=view_citation&amp;hl=en&amp;user=8b8IhUYAAAAJ&amp;sortby=pubdate&amp;citation_for_view=8b8IhUYAAAAJ:1sJd4Hv_s6UC" TargetMode="External" Id="rId37"/><Relationship Type="http://schemas.openxmlformats.org/officeDocument/2006/relationships/hyperlink" Target="https://scholar.google.com/citations?view_op=view_citation&amp;hl=en&amp;user=8b8IhUYAAAAJ&amp;sortby=pubdate&amp;citation_for_view=8b8IhUYAAAAJ:nb7KW1ujOQ8C" TargetMode="External" Id="rId38"/><Relationship Type="http://schemas.openxmlformats.org/officeDocument/2006/relationships/hyperlink" Target="https://scholar.google.com/citations?view_op=view_citation&amp;hl=en&amp;user=8b8IhUYAAAAJ&amp;sortby=pubdate&amp;citation_for_view=8b8IhUYAAAAJ:P5F9QuxV20EC" TargetMode="External" Id="rId39"/><Relationship Type="http://schemas.openxmlformats.org/officeDocument/2006/relationships/hyperlink" Target="https://scholar.google.com/citations?view_op=view_citation&amp;hl=en&amp;user=8b8IhUYAAAAJ&amp;sortby=pubdate&amp;citation_for_view=8b8IhUYAAAAJ:KxtntwgDAa4C" TargetMode="External" Id="rId40"/><Relationship Type="http://schemas.openxmlformats.org/officeDocument/2006/relationships/hyperlink" Target="https://scholar.google.com/citations?view_op=view_citation&amp;hl=en&amp;user=8b8IhUYAAAAJ&amp;sortby=pubdate&amp;citation_for_view=8b8IhUYAAAAJ:dshw04ExmUIC" TargetMode="External" Id="rId41"/><Relationship Type="http://schemas.openxmlformats.org/officeDocument/2006/relationships/hyperlink" Target="https://scholar.google.com/citations?view_op=view_citation&amp;hl=en&amp;user=8b8IhUYAAAAJ&amp;sortby=pubdate&amp;citation_for_view=8b8IhUYAAAAJ:cFHS6HbyZ2cC" TargetMode="External" Id="rId42"/><Relationship Type="http://schemas.openxmlformats.org/officeDocument/2006/relationships/hyperlink" Target="https://scholar.google.com/citations?view_op=view_citation&amp;hl=en&amp;user=8b8IhUYAAAAJ&amp;sortby=pubdate&amp;citation_for_view=8b8IhUYAAAAJ:p2g8aNsByqUC" TargetMode="External" Id="rId43"/><Relationship Type="http://schemas.openxmlformats.org/officeDocument/2006/relationships/hyperlink" Target="https://scholar.google.com/citations?view_op=view_citation&amp;hl=en&amp;user=8b8IhUYAAAAJ&amp;sortby=pubdate&amp;citation_for_view=8b8IhUYAAAAJ:OU6Ihb5iCvQC" TargetMode="External" Id="rId44"/><Relationship Type="http://schemas.openxmlformats.org/officeDocument/2006/relationships/hyperlink" Target="https://scholar.google.com/citations?view_op=view_citation&amp;hl=en&amp;user=8b8IhUYAAAAJ&amp;sortby=pubdate&amp;citation_for_view=8b8IhUYAAAAJ:738O_yMBCRsC" TargetMode="External" Id="rId45"/><Relationship Type="http://schemas.openxmlformats.org/officeDocument/2006/relationships/hyperlink" Target="https://scholar.google.com/citations?view_op=view_citation&amp;hl=en&amp;user=8b8IhUYAAAAJ&amp;sortby=pubdate&amp;citation_for_view=8b8IhUYAAAAJ:K3LRdlH-MEoC" TargetMode="External" Id="rId46"/><Relationship Type="http://schemas.openxmlformats.org/officeDocument/2006/relationships/hyperlink" Target="mailto:BabyLM@EMNLP" TargetMode="External" Id="rId47"/><Relationship Type="http://schemas.openxmlformats.org/officeDocument/2006/relationships/hyperlink" Target="https://scholar.google.com/citations?view_op=view_citation&amp;hl=en&amp;user=8b8IhUYAAAAJ&amp;sortby=pubdate&amp;citation_for_view=8b8IhUYAAAAJ:tOudhMTPpwUC" TargetMode="External" Id="rId48"/><Relationship Type="http://schemas.openxmlformats.org/officeDocument/2006/relationships/hyperlink" Target="https://scholar.google.com/citations?view_op=view_citation&amp;hl=en&amp;user=8b8IhUYAAAAJ&amp;sortby=pubdate&amp;citation_for_view=8b8IhUYAAAAJ:4fKUyHm3Qg0C" TargetMode="External" Id="rId49"/><Relationship Type="http://schemas.openxmlformats.org/officeDocument/2006/relationships/hyperlink" Target="https://scholar.google.com/citations?view_op=view_citation&amp;hl=en&amp;user=8b8IhUYAAAAJ&amp;sortby=pubdate&amp;citation_for_view=8b8IhUYAAAAJ:B3FOqHPlNUQC" TargetMode="External" Id="rId50"/><Relationship Type="http://schemas.openxmlformats.org/officeDocument/2006/relationships/hyperlink" Target="https://scholar.google.com/citations?view_op=view_citation&amp;hl=en&amp;user=8b8IhUYAAAAJ&amp;sortby=pubdate&amp;citation_for_view=8b8IhUYAAAAJ:sSrBHYA8nusC" TargetMode="External" Id="rId51"/><Relationship Type="http://schemas.openxmlformats.org/officeDocument/2006/relationships/hyperlink" Target="https://scholar.google.com/citations?view_op=view_citation&amp;hl=en&amp;user=8b8IhUYAAAAJ&amp;sortby=pubdate&amp;citation_for_view=8b8IhUYAAAAJ:5Ul4iDaHHb8C" TargetMode="External" Id="rId52"/><Relationship Type="http://schemas.openxmlformats.org/officeDocument/2006/relationships/hyperlink" Target="https://scholar.google.com/citations?view_op=view_citation&amp;hl=en&amp;user=8b8IhUYAAAAJ&amp;sortby=pubdate&amp;citation_for_view=8b8IhUYAAAAJ:eflP2zaiRacC" TargetMode="External" Id="rId53"/><Relationship Type="http://schemas.openxmlformats.org/officeDocument/2006/relationships/hyperlink" Target="https://scholar.google.com/citations?view_op=view_citation&amp;hl=en&amp;user=8b8IhUYAAAAJ&amp;sortby=pubdate&amp;citation_for_view=8b8IhUYAAAAJ:VOx2b1Wkg3QC" TargetMode="External" Id="rId54"/><Relationship Type="http://schemas.openxmlformats.org/officeDocument/2006/relationships/hyperlink" Target="https://scholar.google.com/citations?view_op=view_citation&amp;hl=en&amp;user=8b8IhUYAAAAJ&amp;sortby=pubdate&amp;citation_for_view=8b8IhUYAAAAJ:BrmTIyaxlBUC" TargetMode="External" Id="rId55"/><Relationship Type="http://schemas.openxmlformats.org/officeDocument/2006/relationships/hyperlink" Target="https://scholar.google.com/citations?view_op=view_citation&amp;hl=en&amp;user=8b8IhUYAAAAJ&amp;sortby=pubdate&amp;citation_for_view=8b8IhUYAAAAJ:eJXPG6dFmWUC" TargetMode="External" Id="rId56"/><Relationship Type="http://schemas.openxmlformats.org/officeDocument/2006/relationships/hyperlink" Target="https://scholar.google.com/citations?view_op=view_citation&amp;hl=en&amp;user=8b8IhUYAAAAJ&amp;sortby=pubdate&amp;citation_for_view=8b8IhUYAAAAJ:olpn-zPbct0C" TargetMode="External" Id="rId57"/><Relationship Type="http://schemas.openxmlformats.org/officeDocument/2006/relationships/hyperlink" Target="https://scholar.google.com/citations?view_op=view_citation&amp;hl=en&amp;user=8b8IhUYAAAAJ&amp;sortby=pubdate&amp;citation_for_view=8b8IhUYAAAAJ:XiVPGOgt02cC" TargetMode="External" Id="rId58"/><Relationship Type="http://schemas.openxmlformats.org/officeDocument/2006/relationships/hyperlink" Target="https://openreview.net/forum?id=U3y1Frmoe1&amp;referrer=%5BAuthor%20Console%5D(%2Fgroup%3Fid%3DNeurIPS.cc%2F2026%2FConference%2FAuthors%23your-submissions)" TargetMode="External" Id="rId59"/><Relationship Type="http://schemas.openxmlformats.org/officeDocument/2006/relationships/hyperlink" Target="https://openreview.net/forum?id=jGvGY7wh7Q&amp;referrer=%5BAuthor%20Console%5D(%2Fgroup%3Fid%3DNeurIPS.cc%2F2026%2FEvaluations_and_Datasets_Track%2FAuthors%23your-submissions)" TargetMode="External" Id="rId60"/><Relationship Type="http://schemas.openxmlformats.org/officeDocument/2006/relationships/hyperlink" Target="https://openreview.net/forum?id=4WI2wAgqbO&amp;referrer=%5BAuthor%20Console%5D(%2Fgroup%3Fid%3DNeurIPS.cc%2F2026%2FEvaluations_and_Datasets_Track%2FAuthors%23your-submissions)" TargetMode="External" Id="rId61"/><Relationship Type="http://schemas.openxmlformats.org/officeDocument/2006/relationships/hyperlink" Target="https://openreview.net/forum?id=oJ2jfLaMhc&amp;referrer=%5BAuthor%20Console%5D(%2Fgroup%3Fid%3DNeurIPS.cc%2F2026%2FEvaluations_and_Datasets_Track%2FAuthors%23your-submissions)" TargetMode="External" Id="rId62"/><Relationship Type="http://schemas.openxmlformats.org/officeDocument/2006/relationships/hyperlink" Target="https://scholar.google.com/citations?view_op=view_citation&amp;hl=en&amp;user=8b8IhUYAAAAJ&amp;sortby=pubdate&amp;citation_for_view=8b8IhUYAAAAJ:eMMeJKvmdy0C" TargetMode="External" Id="rId63"/><Relationship Type="http://schemas.openxmlformats.org/officeDocument/2006/relationships/hyperlink" Target="https://scholar.google.com/citations?view_op=view_citation&amp;hl=en&amp;user=8b8IhUYAAAAJ&amp;sortby=pubdate&amp;citation_for_view=8b8IhUYAAAAJ:HE397vMXCloC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3"/>
  <sheetViews>
    <sheetView tabSelected="1" workbookViewId="0">
      <pane ySplit="1" topLeftCell="A93" activePane="bottomLeft" state="frozen"/>
      <selection pane="bottomLeft" activeCell="D102" sqref="D102"/>
    </sheetView>
  </sheetViews>
  <sheetFormatPr baseColWidth="10" defaultRowHeight="16"/>
  <cols>
    <col width="29.5" customWidth="1" min="4" max="4"/>
    <col width="38" customWidth="1" min="5" max="5"/>
    <col width="12.83203125" customWidth="1" min="6" max="6"/>
    <col width="20.33203125" customWidth="1" min="13" max="13"/>
    <col width="14" customWidth="1" min="14" max="15"/>
    <col width="15" customWidth="1" min="16" max="16"/>
    <col width="10.5" customWidth="1" min="21" max="21"/>
    <col width="13.6640625" customWidth="1" min="22" max="22"/>
    <col width="10.6640625" customWidth="1" min="25" max="25"/>
  </cols>
  <sheetData>
    <row r="1" ht="51" customFormat="1" customHeight="1" s="15">
      <c r="A1" s="15" t="inlineStr">
        <is>
          <t>Time of publish ID</t>
        </is>
      </c>
      <c r="B1" s="15" t="inlineStr">
        <is>
          <t>Warning, incomplete?</t>
        </is>
      </c>
      <c r="C1" s="15" t="inlineStr">
        <is>
          <t>Venue</t>
        </is>
      </c>
      <c r="D1" s="15" t="inlineStr">
        <is>
          <t>Name</t>
        </is>
      </c>
      <c r="E1" s="15" t="inlineStr">
        <is>
          <t>Bib</t>
        </is>
      </c>
      <c r="F1" s="15" t="inlineStr">
        <is>
          <t>Authors</t>
        </is>
      </c>
      <c r="G1" s="15" t="inlineStr">
        <is>
          <t>year</t>
        </is>
      </c>
      <c r="H1" s="15" t="inlineStr">
        <is>
          <t>NLP</t>
        </is>
      </c>
      <c r="I1" s="15" t="inlineStr">
        <is>
          <t>Small Models</t>
        </is>
      </c>
      <c r="J1" s="15" t="inlineStr">
        <is>
          <t>Debating</t>
        </is>
      </c>
      <c r="K1" s="15" t="inlineStr">
        <is>
          <t>Recycling</t>
        </is>
      </c>
      <c r="L1" s="15" t="inlineStr">
        <is>
          <t>Scaling Laws</t>
        </is>
      </c>
      <c r="M1" s="15" t="inlineStr">
        <is>
          <t>Human-Model Interaction</t>
        </is>
      </c>
      <c r="N1" s="15" t="inlineStr">
        <is>
          <t>Efficient Pretraining Research</t>
        </is>
      </c>
      <c r="O1" s="15" t="inlineStr">
        <is>
          <t>Resources</t>
        </is>
      </c>
      <c r="P1" s="15" t="inlineStr">
        <is>
          <t>The Science of Deep Learning</t>
        </is>
      </c>
      <c r="Q1" s="15" t="inlineStr">
        <is>
          <t>Methods</t>
        </is>
      </c>
      <c r="R1" s="15" t="inlineStr">
        <is>
          <t>Dataset</t>
        </is>
      </c>
      <c r="S1" s="15" t="inlineStr">
        <is>
          <t>Training</t>
        </is>
      </c>
      <c r="T1" s="15" t="inlineStr">
        <is>
          <t>Evaluation</t>
        </is>
      </c>
      <c r="U1" s="15" t="inlineStr">
        <is>
          <t>Shared-task\effort</t>
        </is>
      </c>
      <c r="V1" s="15" t="inlineStr">
        <is>
          <t>Language&amp;Cognition</t>
        </is>
      </c>
      <c r="W1" s="15" t="inlineStr">
        <is>
          <t>Open</t>
        </is>
      </c>
      <c r="X1" s="15" t="inlineStr">
        <is>
          <t>Meta-science</t>
        </is>
      </c>
      <c r="Y1" s="15" t="inlineStr">
        <is>
          <t>Enabling Low Budget Research</t>
        </is>
      </c>
      <c r="Z1" s="15" t="inlineStr">
        <is>
          <t>Efficiency</t>
        </is>
      </c>
      <c r="AA1" s="15" t="inlineStr">
        <is>
          <t>Paper</t>
        </is>
      </c>
      <c r="AB1" s="15" t="inlineStr">
        <is>
          <t>Workshop-paper</t>
        </is>
      </c>
      <c r="AC1" s="15" t="inlineStr">
        <is>
          <t>Review, Survey and Position</t>
        </is>
      </c>
      <c r="AD1" s="15" t="inlineStr">
        <is>
          <t>Not empty</t>
        </is>
      </c>
      <c r="AE1" s="15" t="inlineStr">
        <is>
          <t>Other</t>
        </is>
      </c>
      <c r="AF1" s="15" t="inlineStr">
        <is>
          <t>inter\eval</t>
        </is>
      </c>
      <c r="AG1" s="15" t="inlineStr">
        <is>
          <t>inter\eval</t>
        </is>
      </c>
      <c r="AH1" s="15" t="inlineStr">
        <is>
          <t>open</t>
        </is>
      </c>
      <c r="AI1" s="15" t="inlineStr">
        <is>
          <t>Allowing</t>
        </is>
      </c>
      <c r="AJ1" s="15" t="inlineStr">
        <is>
          <t>Other</t>
        </is>
      </c>
      <c r="AK1" s="15" t="inlineStr">
        <is>
          <t>Efficient Evaluation</t>
        </is>
      </c>
    </row>
    <row r="2">
      <c r="A2" t="n">
        <v>1</v>
      </c>
      <c r="B2">
        <f t="array" ref="B2">_xlfn.IFS(ISBLANK(D2),"",ISBLANK(C2),"no venue",ISBLANK(E2),"no bib",ISNUMBER(SEARCH("xiv", C2)),"arxiv",SUM(I2:AA2)&lt;3,"no categories",TRUE,"")</f>
        <v/>
      </c>
      <c r="C2" s="1" t="inlineStr">
        <is>
          <t xml:space="preserve">ICLR 2018* </t>
        </is>
      </c>
      <c r="D2" t="inlineStr">
        <is>
          <t xml:space="preserve"> DORA The Explorer: Directed Outreaching Reinforcement Action</t>
        </is>
      </c>
      <c r="E2" t="inlineStr">
        <is>
          <t xml:space="preserve"> DBLP:conf/iclr/FoxCL18</t>
        </is>
      </c>
      <c r="F2" t="inlineStr">
        <is>
          <t>Leshem Choshen, Lior Fox, Yonatan Loewenstein</t>
        </is>
      </c>
      <c r="G2" t="n">
        <v>2018</v>
      </c>
      <c r="Q2" t="n">
        <v>1</v>
      </c>
      <c r="S2" s="4" t="n">
        <v>1</v>
      </c>
      <c r="AA2" t="n">
        <v>1</v>
      </c>
      <c r="AD2" t="n">
        <v>1</v>
      </c>
      <c r="AE2">
        <f>IF(SUM(Y2,T2,P2,W2),0,1)</f>
        <v/>
      </c>
      <c r="AF2">
        <f>IF(SUM(T2,P2)&gt;0,1,0)</f>
        <v/>
      </c>
      <c r="AG2">
        <f>IF(AF2,E2,"")</f>
        <v/>
      </c>
      <c r="AH2">
        <f>IF(W2,E2,"")</f>
        <v/>
      </c>
      <c r="AI2">
        <f>IF(Y2,E2,"")</f>
        <v/>
      </c>
      <c r="AJ2">
        <f>IF(AE2,E2,"")</f>
        <v/>
      </c>
      <c r="AK2">
        <f>IF(Z2+T2&gt;1,1,0)</f>
        <v/>
      </c>
    </row>
    <row r="3">
      <c r="A3">
        <f>1+A2</f>
        <v/>
      </c>
      <c r="B3">
        <f t="array" ref="B3">_xlfn.IFS(ISBLANK(D3),"",ISBLANK(C3),"no venue",ISBLANK(E3),"no bib",ISNUMBER(SEARCH("xiv", C3)),"arxiv",SUM(I3:AA3)&lt;3,"no categories",TRUE,"")</f>
        <v/>
      </c>
      <c r="C3" s="1" t="inlineStr">
        <is>
          <t>NAACL-HLT 2018*</t>
        </is>
      </c>
      <c r="D3" s="5" t="inlineStr">
        <is>
          <t>Reference-less Measure of Faithfulness for Grammatical Error Correction</t>
        </is>
      </c>
      <c r="E3" t="inlineStr">
        <is>
          <t>DBLP:conf/naacl/ChoshenA18</t>
        </is>
      </c>
      <c r="F3" t="inlineStr">
        <is>
          <t>Leshem Choshen, Omri Abend</t>
        </is>
      </c>
      <c r="G3" t="n">
        <v>2018</v>
      </c>
      <c r="H3" t="n">
        <v>1</v>
      </c>
      <c r="O3" t="n">
        <v>1</v>
      </c>
      <c r="Q3" t="n">
        <v>1</v>
      </c>
      <c r="S3" s="4" t="n"/>
      <c r="T3" t="n">
        <v>1</v>
      </c>
      <c r="V3" t="n">
        <v>1</v>
      </c>
      <c r="AA3" t="n">
        <v>1</v>
      </c>
      <c r="AD3" t="n">
        <v>1</v>
      </c>
      <c r="AE3">
        <f>IF(SUM(Y3,T3,P3,W3),0,1)</f>
        <v/>
      </c>
      <c r="AF3">
        <f>IF(SUM(T3,P3)&gt;0,1,0)</f>
        <v/>
      </c>
      <c r="AG3">
        <f>IF(AF3,E3,"")</f>
        <v/>
      </c>
      <c r="AH3">
        <f>IF(W3,E3,"")</f>
        <v/>
      </c>
      <c r="AI3">
        <f>IF(Y3,E3,"")</f>
        <v/>
      </c>
      <c r="AJ3">
        <f>IF(AE3,E3,"")</f>
        <v/>
      </c>
      <c r="AK3">
        <f>IF(Z3+T3&gt;1,1,0)</f>
        <v/>
      </c>
    </row>
    <row r="4">
      <c r="A4">
        <f>1+A3</f>
        <v/>
      </c>
      <c r="B4">
        <f t="array" ref="B4">_xlfn.IFS(ISBLANK(D4),"",ISBLANK(C4),"no venue",ISBLANK(E4),"no bib",ISNUMBER(SEARCH("xiv", C4)),"arxiv",SUM(I4:AA4)&lt;3,"no categories",TRUE,"")</f>
        <v/>
      </c>
      <c r="C4" s="1" t="inlineStr">
        <is>
          <t xml:space="preserve">ACL 2018 </t>
        </is>
      </c>
      <c r="D4" t="inlineStr">
        <is>
          <t xml:space="preserve"> Will it Blend? Weak and Manual Labeled Data in a Neural Network for Argumentation Mining</t>
        </is>
      </c>
      <c r="E4" t="inlineStr">
        <is>
          <t>DBLP:conf/acl/ShnarchPDGHCAS18</t>
        </is>
      </c>
      <c r="F4" t="inlineStr">
        <is>
          <t xml:space="preserve">Eyal Shnarch, Carlos Alzate, Lena Dankin, Martin Gleize, Yufang Hou, Leshem Choshen, Ranit Aharonov and Noam Slonim </t>
        </is>
      </c>
      <c r="G4" t="n">
        <v>2018</v>
      </c>
      <c r="H4" t="n">
        <v>1</v>
      </c>
      <c r="J4" t="n">
        <v>1</v>
      </c>
      <c r="Q4" t="n">
        <v>1</v>
      </c>
      <c r="S4" s="4" t="n">
        <v>1</v>
      </c>
      <c r="V4" t="n">
        <v>1</v>
      </c>
      <c r="Z4" t="n">
        <v>1</v>
      </c>
      <c r="AA4" t="n">
        <v>1</v>
      </c>
      <c r="AD4" t="n">
        <v>1</v>
      </c>
      <c r="AE4">
        <f>IF(SUM(Y4,T4,P4,W4),0,1)</f>
        <v/>
      </c>
      <c r="AF4">
        <f>IF(SUM(T4,P4)&gt;0,1,0)</f>
        <v/>
      </c>
      <c r="AG4">
        <f>IF(AF4,E4,"")</f>
        <v/>
      </c>
      <c r="AH4">
        <f>IF(W4,E4,"")</f>
        <v/>
      </c>
      <c r="AI4">
        <f>IF(Y4,E4,"")</f>
        <v/>
      </c>
      <c r="AJ4">
        <f>IF(AE4,E4,"")</f>
        <v/>
      </c>
    </row>
    <row r="5">
      <c r="A5">
        <f>1+A4</f>
        <v/>
      </c>
      <c r="B5">
        <f t="array" ref="B5">_xlfn.IFS(ISBLANK(D5),"",ISBLANK(C5),"no venue",ISBLANK(E5),"no bib",ISNUMBER(SEARCH("xiv", C5)),"arxiv",SUM(I5:AA5)&lt;3,"no categories",TRUE,"")</f>
        <v/>
      </c>
      <c r="C5" s="1" t="inlineStr">
        <is>
          <t>ACL 2018* ​​</t>
        </is>
      </c>
      <c r="D5" t="inlineStr">
        <is>
          <t xml:space="preserve"> Automatic Metric Validation for Grammatical Error Correction</t>
        </is>
      </c>
      <c r="E5" t="inlineStr">
        <is>
          <t xml:space="preserve"> DBLP:conf/acl/AbendC18a</t>
        </is>
      </c>
      <c r="F5" t="inlineStr">
        <is>
          <t>Leshem Choshen, Omri Abend</t>
        </is>
      </c>
      <c r="G5" t="n">
        <v>2018</v>
      </c>
      <c r="H5" t="n">
        <v>1</v>
      </c>
      <c r="O5" t="n">
        <v>1</v>
      </c>
      <c r="P5" t="n">
        <v>1</v>
      </c>
      <c r="Q5" t="n">
        <v>1</v>
      </c>
      <c r="S5" s="4" t="n"/>
      <c r="T5" t="n">
        <v>1</v>
      </c>
      <c r="V5" t="n">
        <v>1</v>
      </c>
      <c r="X5" t="n">
        <v>1</v>
      </c>
      <c r="Y5" t="n">
        <v>1</v>
      </c>
      <c r="Z5" t="n">
        <v>1</v>
      </c>
      <c r="AA5" t="n">
        <v>1</v>
      </c>
      <c r="AD5" t="n">
        <v>1</v>
      </c>
      <c r="AE5">
        <f>IF(SUM(Y5,T5,P5,W5),0,1)</f>
        <v/>
      </c>
      <c r="AF5">
        <f>IF(SUM(T5,P5)&gt;0,1,0)</f>
        <v/>
      </c>
      <c r="AG5">
        <f>IF(AF5,E5,"")</f>
        <v/>
      </c>
      <c r="AH5">
        <f>IF(W5,E5,"")</f>
        <v/>
      </c>
      <c r="AI5">
        <f>IF(Y5,E5,"")</f>
        <v/>
      </c>
      <c r="AJ5">
        <f>IF(AE5,E5,"")</f>
        <v/>
      </c>
      <c r="AK5">
        <f>IF(Z5+T5&gt;1,1,0)</f>
        <v/>
      </c>
    </row>
    <row r="6">
      <c r="A6">
        <f>1+A5</f>
        <v/>
      </c>
      <c r="B6">
        <f t="array" ref="B6">_xlfn.IFS(ISBLANK(D6),"",ISBLANK(C6),"no venue",ISBLANK(E6),"no bib",ISNUMBER(SEARCH("xiv", C6)),"arxiv",SUM(I6:AA6)&lt;3,"no categories",TRUE,"")</f>
        <v/>
      </c>
      <c r="C6" s="1" t="inlineStr">
        <is>
          <t xml:space="preserve">ACL 2018* </t>
        </is>
      </c>
      <c r="D6" t="inlineStr">
        <is>
          <t>​​ Inherent Biases in Reference-based Evaluation for Grammatical Error Correction and Text Simplification</t>
        </is>
      </c>
      <c r="E6" t="inlineStr">
        <is>
          <t>DBLP:conf/acl/AbendC18</t>
        </is>
      </c>
      <c r="F6" t="inlineStr">
        <is>
          <t>Leshem Choshen, Omri Abend</t>
        </is>
      </c>
      <c r="G6" t="n">
        <v>2018</v>
      </c>
      <c r="H6" t="n">
        <v>1</v>
      </c>
      <c r="P6" t="n">
        <v>1</v>
      </c>
      <c r="S6" s="4" t="n"/>
      <c r="T6" t="n">
        <v>1</v>
      </c>
      <c r="V6" t="n">
        <v>1</v>
      </c>
      <c r="X6" t="n">
        <v>1</v>
      </c>
      <c r="AA6" t="n">
        <v>1</v>
      </c>
      <c r="AD6" t="n">
        <v>1</v>
      </c>
      <c r="AE6">
        <f>IF(SUM(Y6,T6,P6,W6),0,1)</f>
        <v/>
      </c>
      <c r="AF6">
        <f>IF(SUM(T6,P6)&gt;0,1,0)</f>
        <v/>
      </c>
      <c r="AG6">
        <f>IF(AF6,E6,"")</f>
        <v/>
      </c>
      <c r="AH6">
        <f>IF(W6,E6,"")</f>
        <v/>
      </c>
      <c r="AI6">
        <f>IF(Y6,E6,"")</f>
        <v/>
      </c>
      <c r="AJ6">
        <f>IF(AE6,E6,"")</f>
        <v/>
      </c>
      <c r="AK6">
        <f>IF(Z6+T6&gt;1,1,0)</f>
        <v/>
      </c>
    </row>
    <row r="7">
      <c r="A7">
        <f>1+A6</f>
        <v/>
      </c>
      <c r="B7">
        <f t="array" ref="B7">_xlfn.IFS(ISBLANK(D7),"",ISBLANK(C7),"no venue",ISBLANK(E7),"no bib",ISNUMBER(SEARCH("xiv", C7)),"arxiv",SUM(I7:AA7)&lt;3,"no categories",TRUE,"")</f>
        <v/>
      </c>
      <c r="C7" s="1" t="inlineStr">
        <is>
          <t xml:space="preserve">SemEval@EMNLP 2019 </t>
        </is>
      </c>
      <c r="D7" t="inlineStr">
        <is>
          <t xml:space="preserve"> SemEval 2019 Task 1: Cross-lingual Semantic Parsing with UCCA </t>
        </is>
      </c>
      <c r="E7" t="inlineStr">
        <is>
          <t>DBLP:conf/semeval/HershcovichACSR19</t>
        </is>
      </c>
      <c r="F7" t="inlineStr">
        <is>
          <t>Daniel Hershcovich, Zohar Aizenbud, Leshem Choshen, Elior Sulem, Ari Rappoport, Omri Abend</t>
        </is>
      </c>
      <c r="G7" t="n">
        <v>2019</v>
      </c>
      <c r="H7" t="n">
        <v>1</v>
      </c>
      <c r="O7" t="n">
        <v>1</v>
      </c>
      <c r="R7" t="n">
        <v>1</v>
      </c>
      <c r="S7" s="4" t="n"/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AA7" t="n">
        <v>1</v>
      </c>
      <c r="AB7" t="n">
        <v>1</v>
      </c>
      <c r="AD7" t="n">
        <v>1</v>
      </c>
      <c r="AE7">
        <f>IF(SUM(Y7,T7,P7,W7),0,1)</f>
        <v/>
      </c>
      <c r="AF7">
        <f>IF(SUM(T7,P7)&gt;0,1,0)</f>
        <v/>
      </c>
      <c r="AG7">
        <f>IF(AF7,E7,"")</f>
        <v/>
      </c>
      <c r="AH7">
        <f>IF(W7,E7,"")</f>
        <v/>
      </c>
      <c r="AI7">
        <f>IF(Y7,E7,"")</f>
        <v/>
      </c>
      <c r="AJ7">
        <f>IF(AE7,E7,"")</f>
        <v/>
      </c>
      <c r="AK7">
        <f>IF(Z7+T7&gt;1,1,0)</f>
        <v/>
      </c>
    </row>
    <row r="8">
      <c r="A8">
        <f>1+A7</f>
        <v/>
      </c>
      <c r="B8">
        <f t="array" ref="B8">_xlfn.IFS(ISBLANK(D8),"",ISBLANK(C8),"no venue",ISBLANK(E8),"no bib",ISNUMBER(SEARCH("xiv", C8)),"arxiv",SUM(I8:AA8)&lt;3,"no categories",TRUE,"")</f>
        <v/>
      </c>
      <c r="C8" s="1" t="inlineStr">
        <is>
          <t xml:space="preserve">ACL 2019 </t>
        </is>
      </c>
      <c r="D8" t="inlineStr">
        <is>
          <t xml:space="preserve"> Are You Convinced? Choosing the More Convincing Evidence with a Siamese Network </t>
        </is>
      </c>
      <c r="E8" t="inlineStr">
        <is>
          <t>DBLP:conf/acl/GleizeSCDMAS19</t>
        </is>
      </c>
      <c r="F8" t="inlineStr">
        <is>
          <t>Martin Gleize, Eyal Shnarch, Leshem Choshen, Lena Dankin, Guy Moshkowich, Ranit Aharonov, Noam Slonim</t>
        </is>
      </c>
      <c r="G8" t="n">
        <v>2019</v>
      </c>
      <c r="H8" t="n">
        <v>1</v>
      </c>
      <c r="J8" t="n">
        <v>1</v>
      </c>
      <c r="Q8" t="n">
        <v>1</v>
      </c>
      <c r="S8" s="4" t="n">
        <v>1</v>
      </c>
      <c r="V8" t="n">
        <v>1</v>
      </c>
      <c r="AA8" t="n">
        <v>1</v>
      </c>
      <c r="AD8" t="n">
        <v>1</v>
      </c>
      <c r="AE8">
        <f>IF(SUM(Y8,T8,P8,W8),0,1)</f>
        <v/>
      </c>
      <c r="AF8">
        <f>IF(SUM(T8,P8)&gt;0,1,0)</f>
        <v/>
      </c>
      <c r="AG8">
        <f>IF(AF8,E8,"")</f>
        <v/>
      </c>
      <c r="AH8">
        <f>IF(W8,E8,"")</f>
        <v/>
      </c>
      <c r="AI8">
        <f>IF(Y8,E8,"")</f>
        <v/>
      </c>
      <c r="AJ8">
        <f>IF(AE8,E8,"")</f>
        <v/>
      </c>
    </row>
    <row r="9">
      <c r="A9">
        <f>1+A8</f>
        <v/>
      </c>
      <c r="B9">
        <f t="array" ref="B9">_xlfn.IFS(ISBLANK(D9),"",ISBLANK(C9),"no venue",ISBLANK(E9),"no bib",ISNUMBER(SEARCH("xiv", C9)),"arxiv",SUM(I9:AA9)&lt;3,"no categories",TRUE,"")</f>
        <v/>
      </c>
      <c r="C9" s="1" t="inlineStr">
        <is>
          <t xml:space="preserve">ACL 2019* </t>
        </is>
      </c>
      <c r="D9" t="inlineStr">
        <is>
          <t xml:space="preserve"> The Language of Legal and Illegal Activity on the Darknet </t>
        </is>
      </c>
      <c r="E9" t="inlineStr">
        <is>
          <t>DBLP:conf/acl/ChoshenEHSA19</t>
        </is>
      </c>
      <c r="F9" t="inlineStr">
        <is>
          <t>Leshem Choshen, Dan Eldad, Daniel Hershcovich, Elior Sulem, Omri Abend</t>
        </is>
      </c>
      <c r="G9" t="n">
        <v>2019</v>
      </c>
      <c r="H9" t="n">
        <v>1</v>
      </c>
      <c r="P9" t="n">
        <v>1</v>
      </c>
      <c r="S9" s="4" t="n"/>
      <c r="U9" t="n">
        <v>1</v>
      </c>
      <c r="V9" t="n">
        <v>1</v>
      </c>
      <c r="X9" t="n">
        <v>1</v>
      </c>
      <c r="AA9" t="n">
        <v>1</v>
      </c>
      <c r="AD9" t="n">
        <v>1</v>
      </c>
      <c r="AE9">
        <f>IF(SUM(Y9,T9,P9,W9),0,1)</f>
        <v/>
      </c>
      <c r="AF9">
        <f>IF(SUM(T9,P9)&gt;0,1,0)</f>
        <v/>
      </c>
      <c r="AG9">
        <f>IF(AF9,E9,"")</f>
        <v/>
      </c>
      <c r="AH9">
        <f>IF(W9,E9,"")</f>
        <v/>
      </c>
      <c r="AI9">
        <f>IF(Y9,E9,"")</f>
        <v/>
      </c>
      <c r="AJ9">
        <f>IF(AE9,E9,"")</f>
        <v/>
      </c>
      <c r="AK9">
        <f>IF(Z9+T9&gt;1,1,0)</f>
        <v/>
      </c>
    </row>
    <row r="10">
      <c r="A10">
        <f>1+A9</f>
        <v/>
      </c>
      <c r="B10">
        <f t="array" ref="B10">_xlfn.IFS(ISBLANK(D10),"",ISBLANK(C10),"no venue",ISBLANK(E10),"no bib",ISNUMBER(SEARCH("xiv", C10)),"arxiv",SUM(I10:AA10)&lt;3,"no categories",TRUE,"")</f>
        <v/>
      </c>
      <c r="C10" s="1" t="inlineStr">
        <is>
          <t xml:space="preserve">BEA@ACL 2019* </t>
        </is>
      </c>
      <c r="D10" t="inlineStr">
        <is>
          <t xml:space="preserve"> Learning to combine Grammatical Error Corrections </t>
        </is>
      </c>
      <c r="E10" t="inlineStr">
        <is>
          <t>DBLP:conf/bea/KantorKCCLTMS19</t>
        </is>
      </c>
      <c r="F10" t="inlineStr">
        <is>
          <t>Yoav Kantor, Yoav Katz, Leshem Choshen, Edo Cohen-Karlik, Naftali Liberman, Assaf Toledo, Amir Menczel, Noam Slonim</t>
        </is>
      </c>
      <c r="G10" t="n">
        <v>2019</v>
      </c>
      <c r="H10" t="n">
        <v>1</v>
      </c>
      <c r="J10" t="n">
        <v>1</v>
      </c>
      <c r="O10" t="n">
        <v>1</v>
      </c>
      <c r="Q10" t="n">
        <v>1</v>
      </c>
      <c r="S10" s="4" t="n">
        <v>1</v>
      </c>
      <c r="U10" t="n">
        <v>1</v>
      </c>
      <c r="V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D10" t="n">
        <v>1</v>
      </c>
      <c r="AE10">
        <f>IF(SUM(Y10,T10,P10,W10),0,1)</f>
        <v/>
      </c>
      <c r="AF10">
        <f>IF(SUM(T10,P10)&gt;0,1,0)</f>
        <v/>
      </c>
      <c r="AG10">
        <f>IF(AF10,E10,"")</f>
        <v/>
      </c>
      <c r="AH10">
        <f>IF(W10,E10,"")</f>
        <v/>
      </c>
      <c r="AI10">
        <f>IF(Y10,E10,"")</f>
        <v/>
      </c>
      <c r="AJ10">
        <f>IF(AE10,E10,"")</f>
        <v/>
      </c>
    </row>
    <row r="11">
      <c r="A11">
        <f>1+A10</f>
        <v/>
      </c>
      <c r="B11">
        <f t="array" ref="B11">_xlfn.IFS(ISBLANK(D11),"",ISBLANK(C11),"no venue",ISBLANK(E11),"no bib",ISNUMBER(SEARCH("xiv", C11)),"arxiv",SUM(I11:AA11)&lt;3,"no categories",TRUE,"")</f>
        <v/>
      </c>
      <c r="C11" s="1" t="inlineStr">
        <is>
          <t xml:space="preserve">CoNLL 2019* </t>
        </is>
      </c>
      <c r="D11" t="inlineStr">
        <is>
          <t xml:space="preserve"> Automatically Extracting Challenge Sets for Non-local Phenomena in Neural Machine Translation </t>
        </is>
      </c>
      <c r="E11" t="inlineStr">
        <is>
          <t>DBLP:conf/conll/ChoshenA19</t>
        </is>
      </c>
      <c r="F11" t="inlineStr">
        <is>
          <t>Leshem Choshen, Omri Abend</t>
        </is>
      </c>
      <c r="G11" t="n">
        <v>2019</v>
      </c>
      <c r="H11" t="n">
        <v>1</v>
      </c>
      <c r="O11" t="n">
        <v>1</v>
      </c>
      <c r="P11" t="n">
        <v>1</v>
      </c>
      <c r="Q11" t="n">
        <v>1</v>
      </c>
      <c r="R11" t="n">
        <v>1</v>
      </c>
      <c r="S11" s="4" t="n"/>
      <c r="T11" t="n">
        <v>1</v>
      </c>
      <c r="V11" t="n">
        <v>1</v>
      </c>
      <c r="X11" t="n">
        <v>1</v>
      </c>
      <c r="Y11" t="n">
        <v>1</v>
      </c>
      <c r="Z11" t="n">
        <v>1</v>
      </c>
      <c r="AA11" t="n">
        <v>1</v>
      </c>
      <c r="AD11" t="n">
        <v>1</v>
      </c>
      <c r="AE11">
        <f>IF(SUM(Y11,T11,P11,W11),0,1)</f>
        <v/>
      </c>
      <c r="AF11">
        <f>IF(SUM(T11,P11)&gt;0,1,0)</f>
        <v/>
      </c>
      <c r="AG11">
        <f>IF(AF11,E11,"")</f>
        <v/>
      </c>
      <c r="AH11">
        <f>IF(W11,E11,"")</f>
        <v/>
      </c>
      <c r="AI11">
        <f>IF(Y11,E11,"")</f>
        <v/>
      </c>
      <c r="AJ11">
        <f>IF(AE11,E11,"")</f>
        <v/>
      </c>
      <c r="AK11">
        <f>IF(Z11+T11&gt;1,1,0)</f>
        <v/>
      </c>
    </row>
    <row r="12">
      <c r="A12">
        <f>1+A11</f>
        <v/>
      </c>
      <c r="B12">
        <f t="array" ref="B12">_xlfn.IFS(ISBLANK(D12),"",ISBLANK(C12),"no venue",ISBLANK(E12),"no bib",ISNUMBER(SEARCH("xiv", C12)),"arxiv",SUM(I12:AA12)&lt;3,"no categories",TRUE,"")</f>
        <v/>
      </c>
      <c r="C12" s="1" t="inlineStr">
        <is>
          <t xml:space="preserve">AAAI 2020 </t>
        </is>
      </c>
      <c r="D12" t="inlineStr">
        <is>
          <t xml:space="preserve"> Corpus wide argument mining- a working solution </t>
        </is>
      </c>
      <c r="E12" t="inlineStr">
        <is>
          <t>DBLP:conf/aaai/Ein-DorSDHSGAGC20</t>
        </is>
      </c>
      <c r="F12" t="inlineStr">
        <is>
          <t>Liat Ein-Dor, Eyal Shnarch, Lena Dankin, Alon Halfon, Benjamin Sznajder, Ariel Gera, Carlos Alzate, Martin Gleize, Leshem Choshen, Yufang Hou, Yonatan Bilu, Ranit Aharonov, Noam Slonim</t>
        </is>
      </c>
      <c r="G12" t="n">
        <v>2020</v>
      </c>
      <c r="H12" t="n">
        <v>1</v>
      </c>
      <c r="J12" t="n">
        <v>1</v>
      </c>
      <c r="O12" t="n">
        <v>1</v>
      </c>
      <c r="Q12" t="n">
        <v>1</v>
      </c>
      <c r="R12" t="n">
        <v>1</v>
      </c>
      <c r="S12" s="4" t="n">
        <v>1</v>
      </c>
      <c r="T12" t="n">
        <v>1</v>
      </c>
      <c r="V12" t="n">
        <v>1</v>
      </c>
      <c r="AA12" t="n">
        <v>1</v>
      </c>
      <c r="AD12" t="n">
        <v>1</v>
      </c>
      <c r="AE12">
        <f>IF(SUM(Y12,T12,P12,W12),0,1)</f>
        <v/>
      </c>
      <c r="AF12">
        <f>IF(SUM(T12,P12)&gt;0,1,0)</f>
        <v/>
      </c>
      <c r="AG12">
        <f>IF(AF12,E12,"")</f>
        <v/>
      </c>
      <c r="AH12">
        <f>IF(W12,E12,"")</f>
        <v/>
      </c>
      <c r="AI12">
        <f>IF(Y12,E12,"")</f>
        <v/>
      </c>
      <c r="AJ12">
        <f>IF(AE12,E12,"")</f>
        <v/>
      </c>
    </row>
    <row r="13">
      <c r="A13">
        <f>1+A12</f>
        <v/>
      </c>
      <c r="B13">
        <f t="array" ref="B13">_xlfn.IFS(ISBLANK(D13),"",ISBLANK(C13),"no venue",ISBLANK(E13),"no bib",ISNUMBER(SEARCH("xiv", C13)),"arxiv",SUM(I13:AA13)&lt;3,"no categories",TRUE,"")</f>
        <v/>
      </c>
      <c r="C13" s="1" t="inlineStr">
        <is>
          <t xml:space="preserve">ICLR 2020* </t>
        </is>
      </c>
      <c r="D13" t="inlineStr">
        <is>
          <t xml:space="preserve"> On the Weaknesses of Reinforcement Learning for Neural Machine Translation </t>
        </is>
      </c>
      <c r="E13" t="inlineStr">
        <is>
          <t>DBLP:conf/iclr/ChoshenFAA20</t>
        </is>
      </c>
      <c r="F13" t="inlineStr">
        <is>
          <t xml:space="preserve">Leshem Choshen, Lior Fox, Zohar Aizenbud, Omri Abend </t>
        </is>
      </c>
      <c r="G13" t="n">
        <v>2020</v>
      </c>
      <c r="H13" t="n">
        <v>1</v>
      </c>
      <c r="P13" t="n">
        <v>1</v>
      </c>
      <c r="S13" s="4" t="n">
        <v>1</v>
      </c>
      <c r="T13" t="n">
        <v>1</v>
      </c>
      <c r="V13" t="n">
        <v>1</v>
      </c>
      <c r="X13" t="n">
        <v>1</v>
      </c>
      <c r="AA13" t="n">
        <v>1</v>
      </c>
      <c r="AD13" t="n">
        <v>1</v>
      </c>
      <c r="AE13">
        <f>IF(SUM(Y13,T13,P13,W13),0,1)</f>
        <v/>
      </c>
      <c r="AF13">
        <f>IF(SUM(T13,P13)&gt;0,1,0)</f>
        <v/>
      </c>
      <c r="AG13">
        <f>IF(AF13,E13,"")</f>
        <v/>
      </c>
      <c r="AH13">
        <f>IF(W13,E13,"")</f>
        <v/>
      </c>
      <c r="AI13">
        <f>IF(Y13,E13,"")</f>
        <v/>
      </c>
      <c r="AJ13">
        <f>IF(AE13,E13,"")</f>
        <v/>
      </c>
      <c r="AK13">
        <f>IF(Z13+T13&gt;1,1,0)</f>
        <v/>
      </c>
    </row>
    <row r="14">
      <c r="A14">
        <f>1+A13</f>
        <v/>
      </c>
      <c r="B14">
        <f t="array" ref="B14">_xlfn.IFS(ISBLANK(D14),"",ISBLANK(C14),"no venue",ISBLANK(E14),"no bib",ISNUMBER(SEARCH("xiv", C14)),"arxiv",SUM(I14:AA14)&lt;2,"no categories",TRUE,"")</f>
        <v/>
      </c>
      <c r="C14" s="2" t="inlineStr">
        <is>
          <t xml:space="preserve">ICML 2020 </t>
        </is>
      </c>
      <c r="D14" t="inlineStr">
        <is>
          <t xml:space="preserve"> Let's Agree to Agree: Neural Networks Share Classification Order on Real Datasets </t>
        </is>
      </c>
      <c r="E14" t="inlineStr">
        <is>
          <t>DBLP:conf/icml/HacohenCW20</t>
        </is>
      </c>
      <c r="F14" t="inlineStr">
        <is>
          <t>Guy Hacohen, Leshem Choshen, Dafna Weinshall</t>
        </is>
      </c>
      <c r="G14" t="n">
        <v>2020</v>
      </c>
      <c r="H14" t="n">
        <v>1</v>
      </c>
      <c r="P14" t="n">
        <v>1</v>
      </c>
      <c r="S14" s="4" t="n"/>
      <c r="AA14" t="n">
        <v>1</v>
      </c>
      <c r="AD14" t="n">
        <v>1</v>
      </c>
      <c r="AE14">
        <f>IF(SUM(Y14,T14,P14,W14),0,1)</f>
        <v/>
      </c>
      <c r="AF14">
        <f>IF(SUM(T14,P14)&gt;0,1,0)</f>
        <v/>
      </c>
      <c r="AG14">
        <f>IF(AF14,E14,"")</f>
        <v/>
      </c>
      <c r="AH14">
        <f>IF(W14,E14,"")</f>
        <v/>
      </c>
      <c r="AI14">
        <f>IF(Y14,E14,"")</f>
        <v/>
      </c>
      <c r="AJ14">
        <f>IF(AE14,E14,"")</f>
        <v/>
      </c>
      <c r="AK14">
        <f>IF(Z14+T14&gt;1,1,0)</f>
        <v/>
      </c>
    </row>
    <row r="15">
      <c r="A15">
        <f>1+A14</f>
        <v/>
      </c>
      <c r="B15">
        <f t="array" ref="B15">_xlfn.IFS(ISBLANK(D15),"",ISBLANK(C15),"no venue",ISBLANK(E15),"no bib",ISNUMBER(SEARCH("xiv", C15)),"arxiv",SUM(I15:AA15)&lt;3,"no categories",TRUE,"")</f>
        <v/>
      </c>
      <c r="C15" s="1" t="inlineStr">
        <is>
          <t xml:space="preserve">EMNLP 2020 </t>
        </is>
      </c>
      <c r="D15" t="inlineStr">
        <is>
          <t xml:space="preserve"> Active Learning for BERT: An Empirical Study </t>
        </is>
      </c>
      <c r="E15" t="inlineStr">
        <is>
          <t>DBLP:conf/emnlp/Ein-DorHGSDCDAK20</t>
        </is>
      </c>
      <c r="F15" t="inlineStr">
        <is>
          <t>Liat Ein-Dor, Alon Halfon, Ariel Gera, Eyal Shnarch, Lena Dankin, Leshem Choshen, Marina Danilevsky, Ranit Aharonov, Yoav Katz and Noam Slonim</t>
        </is>
      </c>
      <c r="G15" t="n">
        <v>2020</v>
      </c>
      <c r="H15" t="n">
        <v>1</v>
      </c>
      <c r="O15" t="n">
        <v>1</v>
      </c>
      <c r="S15" s="4" t="n">
        <v>1</v>
      </c>
      <c r="T15" t="n">
        <v>1</v>
      </c>
      <c r="X15" t="n">
        <v>1</v>
      </c>
      <c r="Z15" t="n">
        <v>1</v>
      </c>
      <c r="AA15" t="n">
        <v>1</v>
      </c>
      <c r="AD15" t="n">
        <v>1</v>
      </c>
      <c r="AE15">
        <f>IF(SUM(Y15,T15,P15,W15),0,1)</f>
        <v/>
      </c>
      <c r="AF15">
        <f>IF(SUM(T15,P15)&gt;0,1,0)</f>
        <v/>
      </c>
      <c r="AG15">
        <f>IF(AF15,E15,"")</f>
        <v/>
      </c>
      <c r="AH15">
        <f>IF(W15,E15,"")</f>
        <v/>
      </c>
      <c r="AI15">
        <f>IF(Y15,E15,"")</f>
        <v/>
      </c>
      <c r="AJ15">
        <f>IF(AE15,E15,"")</f>
        <v/>
      </c>
      <c r="AK15">
        <f>IF(Z15+T15&gt;1,1,0)</f>
        <v/>
      </c>
    </row>
    <row r="16">
      <c r="A16">
        <f>1+A15</f>
        <v/>
      </c>
      <c r="B16">
        <f t="array" ref="B16">_xlfn.IFS(ISBLANK(D16),"",ISBLANK(C16),"no venue",ISBLANK(E16),"no bib",ISNUMBER(SEARCH("xiv", C16)),"arxiv",SUM(I16:AA16)&lt;3,"no categories",TRUE,"")</f>
        <v/>
      </c>
      <c r="C16" s="1" t="inlineStr">
        <is>
          <t>EMNLP 2020* findings</t>
        </is>
      </c>
      <c r="D16" t="inlineStr">
        <is>
          <t xml:space="preserve"> Unsupervised Expressive Rules Provide Explainability and Assist Human Experts Grasping New Domains </t>
        </is>
      </c>
      <c r="E16" t="inlineStr">
        <is>
          <t>DBLP:conf/emnlp/ShnarchCMAS20</t>
        </is>
      </c>
      <c r="F16" t="inlineStr">
        <is>
          <t>Eyal Shnarch, Leshem Choshen, Guy Moshkowich, Ranit Aharonov, Noam Slonim</t>
        </is>
      </c>
      <c r="G16" t="n">
        <v>2020</v>
      </c>
      <c r="H16" t="n">
        <v>1</v>
      </c>
      <c r="O16" t="n">
        <v>1</v>
      </c>
      <c r="P16" t="n">
        <v>1</v>
      </c>
      <c r="Q16" t="n">
        <v>1</v>
      </c>
      <c r="S16" s="4" t="n">
        <v>1</v>
      </c>
      <c r="T16" t="n">
        <v>1</v>
      </c>
      <c r="W16" t="n">
        <v>1</v>
      </c>
      <c r="Y16" t="n">
        <v>1</v>
      </c>
      <c r="Z16" t="n">
        <v>1</v>
      </c>
      <c r="AA16" t="n">
        <v>1</v>
      </c>
      <c r="AD16" t="n">
        <v>1</v>
      </c>
      <c r="AE16">
        <f>IF(SUM(Y16,T16,P16,W16),0,1)</f>
        <v/>
      </c>
      <c r="AF16">
        <f>IF(SUM(T16,P16)&gt;0,1,0)</f>
        <v/>
      </c>
      <c r="AG16">
        <f>IF(AF16,E16,"")</f>
        <v/>
      </c>
      <c r="AH16">
        <f>IF(W16,E16,"")</f>
        <v/>
      </c>
      <c r="AI16">
        <f>IF(Y16,E16,"")</f>
        <v/>
      </c>
      <c r="AJ16">
        <f>IF(AE16,E16,"")</f>
        <v/>
      </c>
      <c r="AK16">
        <f>IF(Z16+T16&gt;1,1,0)</f>
        <v/>
      </c>
    </row>
    <row r="17">
      <c r="A17">
        <f>1+A16</f>
        <v/>
      </c>
      <c r="B17">
        <f t="array" ref="B17">_xlfn.IFS(ISBLANK(D17),"",ISBLANK(C17),"no venue",ISBLANK(E17),"no bib",ISNUMBER(SEARCH("xiv", C17)),"arxiv",SUM(I17:AA17)&lt;3,"no categories",TRUE,"")</f>
        <v/>
      </c>
      <c r="C17" s="1" t="inlineStr">
        <is>
          <t xml:space="preserve">CONLL 2020* </t>
        </is>
      </c>
      <c r="D17" t="inlineStr">
        <is>
          <t xml:space="preserve"> Classifying Syntactic Errors in Learner Language </t>
        </is>
      </c>
      <c r="E17" t="inlineStr">
        <is>
          <t>DBLP:conf/conll/ChoshenNBA20</t>
        </is>
      </c>
      <c r="F17" t="inlineStr">
        <is>
          <t>Leshem Choshen, Dmitry Nikolaev, Yevgeni Berzak, Omri Abend</t>
        </is>
      </c>
      <c r="G17" t="n">
        <v>2020</v>
      </c>
      <c r="H17" t="n">
        <v>1</v>
      </c>
      <c r="O17" t="n">
        <v>1</v>
      </c>
      <c r="P17" t="n">
        <v>1</v>
      </c>
      <c r="Q17" t="n">
        <v>1</v>
      </c>
      <c r="S17" s="4" t="n"/>
      <c r="T17" t="n">
        <v>1</v>
      </c>
      <c r="V17" t="n">
        <v>1</v>
      </c>
      <c r="AA17" t="n">
        <v>1</v>
      </c>
      <c r="AD17" t="n">
        <v>1</v>
      </c>
      <c r="AE17">
        <f>IF(SUM(Y17,T17,P17,W17),0,1)</f>
        <v/>
      </c>
      <c r="AF17">
        <f>IF(SUM(T17,P17)&gt;0,1,0)</f>
        <v/>
      </c>
      <c r="AG17">
        <f>IF(AF17,E17,"")</f>
        <v/>
      </c>
      <c r="AH17">
        <f>IF(W17,E17,"")</f>
        <v/>
      </c>
      <c r="AI17">
        <f>IF(Y17,E17,"")</f>
        <v/>
      </c>
      <c r="AJ17">
        <f>IF(AE17,E17,"")</f>
        <v/>
      </c>
      <c r="AK17">
        <f>IF(Z17+T17&gt;1,1,0)</f>
        <v/>
      </c>
    </row>
    <row r="18" ht="18" customHeight="1">
      <c r="A18">
        <f>1+A17</f>
        <v/>
      </c>
      <c r="B18">
        <f t="array" ref="B18">_xlfn.IFS(ISBLANK(D18),"",ISBLANK(C18),"no venue",ISBLANK(E18),"no bib",ISNUMBER(SEARCH("xiv", C18)),"arxiv",SUM(I18:AA18)&lt;3,"no categories",TRUE,"")</f>
        <v/>
      </c>
      <c r="C18" s="3" t="inlineStr">
        <is>
          <t xml:space="preserve">Nature 2021 (cover) </t>
        </is>
      </c>
      <c r="D18" t="inlineStr">
        <is>
          <t xml:space="preserve"> Project Debater  an Autonomous Debating System</t>
        </is>
      </c>
      <c r="E18" t="inlineStr">
        <is>
          <t>DBLP:journals/nature/SlonimBABBBCCDE21</t>
        </is>
      </c>
      <c r="F18" t="inlineStr">
        <is>
          <t xml:space="preserve"> 5th author, full list of authors omitted due to length restrictions (55 authors)</t>
        </is>
      </c>
      <c r="G18" s="4" t="n">
        <v>2021</v>
      </c>
      <c r="H18" t="n">
        <v>1</v>
      </c>
      <c r="J18" t="n">
        <v>1</v>
      </c>
      <c r="K18" s="4" t="n"/>
      <c r="L18" s="4" t="n"/>
      <c r="M18" s="4" t="n"/>
      <c r="O18" t="n">
        <v>1</v>
      </c>
      <c r="Q18" t="n">
        <v>1</v>
      </c>
      <c r="R18" t="n">
        <v>1</v>
      </c>
      <c r="S18" s="4" t="n">
        <v>1</v>
      </c>
      <c r="V18" t="n">
        <v>1</v>
      </c>
      <c r="AA18" t="n">
        <v>1</v>
      </c>
      <c r="AD18" t="n">
        <v>1</v>
      </c>
      <c r="AE18">
        <f>IF(SUM(Y18,T18,P18,W18),0,1)</f>
        <v/>
      </c>
      <c r="AF18">
        <f>IF(SUM(T18,P18)&gt;0,1,0)</f>
        <v/>
      </c>
      <c r="AG18">
        <f>IF(AF18,E18,"")</f>
        <v/>
      </c>
      <c r="AH18">
        <f>IF(W18,E18,"")</f>
        <v/>
      </c>
      <c r="AI18">
        <f>IF(Y18,E18,"")</f>
        <v/>
      </c>
      <c r="AJ18">
        <f>IF(AE18,E18,"")</f>
        <v/>
      </c>
    </row>
    <row r="19">
      <c r="A19">
        <f>1+A18</f>
        <v/>
      </c>
      <c r="B19">
        <f t="array" ref="B19">_xlfn.IFS(ISBLANK(D19),"",ISBLANK(C19),"no venue",ISBLANK(E19),"no bib",ISNUMBER(SEARCH("xiv", C19)),"arxiv",SUM(I19:AA19)&lt;3,"no categories",TRUE,"")</f>
        <v/>
      </c>
      <c r="C19" s="1" t="inlineStr">
        <is>
          <t xml:space="preserve">NAACL2021 </t>
        </is>
      </c>
      <c r="D19" t="inlineStr">
        <is>
          <t xml:space="preserve"> Mediators in Determining what Processing BERT Performs First</t>
        </is>
      </c>
      <c r="E19" t="inlineStr">
        <is>
          <t>DBLP:conf/naacl/SlobodkinCA21</t>
        </is>
      </c>
      <c r="F19" t="inlineStr">
        <is>
          <t xml:space="preserve"> Aviv Solobodkin, Leshem Choshen, Omri Abend</t>
        </is>
      </c>
      <c r="G19" s="4" t="n">
        <v>2021</v>
      </c>
      <c r="H19" t="n">
        <v>1</v>
      </c>
      <c r="K19" s="4" t="n"/>
      <c r="L19" s="4" t="n"/>
      <c r="M19" s="4" t="n"/>
      <c r="P19" t="n">
        <v>1</v>
      </c>
      <c r="S19" s="4" t="n"/>
      <c r="X19" t="n">
        <v>1</v>
      </c>
      <c r="AA19" t="n">
        <v>1</v>
      </c>
      <c r="AD19" t="n">
        <v>1</v>
      </c>
      <c r="AE19">
        <f>IF(SUM(Y19,T19,P19,W19),0,1)</f>
        <v/>
      </c>
      <c r="AF19">
        <f>IF(SUM(T19,P19)&gt;0,1,0)</f>
        <v/>
      </c>
      <c r="AG19">
        <f>IF(AF19,E19,"")</f>
        <v/>
      </c>
      <c r="AH19">
        <f>IF(W19,E19,"")</f>
        <v/>
      </c>
      <c r="AI19">
        <f>IF(Y19,E19,"")</f>
        <v/>
      </c>
      <c r="AJ19">
        <f>IF(AE19,E19,"")</f>
        <v/>
      </c>
      <c r="AK19">
        <f>IF(Z19+T19&gt;1,1,0)</f>
        <v/>
      </c>
    </row>
    <row r="20">
      <c r="A20">
        <f>1+A19</f>
        <v/>
      </c>
      <c r="C20" s="1" t="inlineStr">
        <is>
          <t xml:space="preserve">ArXiv* (Technical report) </t>
        </is>
      </c>
      <c r="D20" t="inlineStr">
        <is>
          <t xml:space="preserve"> SERRANT: a syntactic classifier for English Grammatical Error Types</t>
        </is>
      </c>
      <c r="E20" t="inlineStr">
        <is>
          <t>DBLP:journals/corr/abs-2104-02310</t>
        </is>
      </c>
      <c r="F20" t="inlineStr">
        <is>
          <t xml:space="preserve"> Leshem Choshen, Matanel Orenm Dmitry Nikolaev, Omri Abend</t>
        </is>
      </c>
      <c r="G20" s="4" t="n">
        <v>2021</v>
      </c>
      <c r="H20" t="n">
        <v>1</v>
      </c>
      <c r="K20" s="4" t="n"/>
      <c r="L20" s="4" t="n"/>
      <c r="M20" s="4" t="n"/>
      <c r="O20" t="n">
        <v>1</v>
      </c>
      <c r="P20" t="n">
        <v>1</v>
      </c>
      <c r="Q20" t="n">
        <v>1</v>
      </c>
      <c r="S20" s="4" t="n"/>
      <c r="T20" t="n">
        <v>1</v>
      </c>
      <c r="X20" t="n">
        <v>1</v>
      </c>
      <c r="Y20" t="n">
        <v>1</v>
      </c>
      <c r="AA20" t="n">
        <v>1</v>
      </c>
      <c r="AD20" t="n">
        <v>1</v>
      </c>
      <c r="AE20">
        <f>IF(SUM(Y20,T20,P20,W20),0,1)</f>
        <v/>
      </c>
      <c r="AF20">
        <f>IF(SUM(T20,P20)&gt;0,1,0)</f>
        <v/>
      </c>
      <c r="AG20">
        <f>IF(AF20,E20,"")</f>
        <v/>
      </c>
      <c r="AH20">
        <f>IF(W20,E20,"")</f>
        <v/>
      </c>
      <c r="AI20">
        <f>IF(Y20,E20,"")</f>
        <v/>
      </c>
      <c r="AJ20">
        <f>IF(AE20,E20,"")</f>
        <v/>
      </c>
      <c r="AK20">
        <f>IF(Z20+T20&gt;1,1,0)</f>
        <v/>
      </c>
    </row>
    <row r="21">
      <c r="A21">
        <f>1+A20</f>
        <v/>
      </c>
      <c r="C21" s="1" t="inlineStr">
        <is>
          <t xml:space="preserve">EMNLP2021 </t>
        </is>
      </c>
      <c r="D21" t="inlineStr">
        <is>
          <t xml:space="preserve"> Q2: Evaluating Factual Consistency in Knowledge-Grounded Dialogues via Question Generation and Question Answering</t>
        </is>
      </c>
      <c r="E21" t="inlineStr">
        <is>
          <t>DBLP:conf/emnlp/HonovichCANSA21</t>
        </is>
      </c>
      <c r="F21" t="inlineStr">
        <is>
          <t xml:space="preserve"> Or Honnovich, Leshem Choshen, Roee Aharoni, Idan Szpector, Omri Abend †</t>
        </is>
      </c>
      <c r="G21" s="4" t="n">
        <v>2021</v>
      </c>
      <c r="H21" t="n">
        <v>1</v>
      </c>
      <c r="K21" s="4" t="n"/>
      <c r="L21" s="4" t="n"/>
      <c r="M21" s="4" t="n"/>
      <c r="O21" t="n">
        <v>1</v>
      </c>
      <c r="Q21" t="n">
        <v>1</v>
      </c>
      <c r="S21" s="4" t="n"/>
      <c r="T21" t="n">
        <v>1</v>
      </c>
      <c r="AA21" t="n">
        <v>1</v>
      </c>
      <c r="AD21" t="n">
        <v>1</v>
      </c>
      <c r="AE21">
        <f>IF(SUM(Y21,T21,P21,W21),0,1)</f>
        <v/>
      </c>
      <c r="AF21">
        <f>IF(SUM(T21,P21)&gt;0,1,0)</f>
        <v/>
      </c>
      <c r="AG21">
        <f>IF(AF21,E21,"")</f>
        <v/>
      </c>
      <c r="AH21">
        <f>IF(W21,E21,"")</f>
        <v/>
      </c>
      <c r="AI21">
        <f>IF(Y21,E21,"")</f>
        <v/>
      </c>
      <c r="AJ21">
        <f>IF(AE21,E21,"")</f>
        <v/>
      </c>
      <c r="AK21">
        <f>IF(Z21+T21&gt;1,1,0)</f>
        <v/>
      </c>
    </row>
    <row r="22">
      <c r="A22">
        <f>1+A21</f>
        <v/>
      </c>
      <c r="C22" s="2" t="inlineStr">
        <is>
          <t xml:space="preserve">ArXiv </t>
        </is>
      </c>
      <c r="D22" t="inlineStr">
        <is>
          <t xml:space="preserve"> Part of speech and universal dependency effects on english arabic machine translation</t>
        </is>
      </c>
      <c r="E22" t="inlineStr">
        <is>
          <t>DBLP:journals/corr/abs-2106-00745</t>
        </is>
      </c>
      <c r="F22" t="inlineStr">
        <is>
          <t xml:space="preserve"> Ofek Rafaeli, Omri Abend, Leshem Choshen, Dmitry Nikolaev</t>
        </is>
      </c>
      <c r="G22" t="n">
        <v>2021</v>
      </c>
      <c r="H22" t="n">
        <v>1</v>
      </c>
      <c r="S22" s="4" t="n"/>
      <c r="T22" t="n">
        <v>1</v>
      </c>
      <c r="V22" t="n">
        <v>1</v>
      </c>
      <c r="AA22" t="n">
        <v>1</v>
      </c>
      <c r="AD22" t="n">
        <v>1</v>
      </c>
      <c r="AE22">
        <f>IF(SUM(Y22,T22,P22,W22),0,1)</f>
        <v/>
      </c>
      <c r="AF22">
        <f>IF(SUM(T22,P22)&gt;0,1,0)</f>
        <v/>
      </c>
      <c r="AG22">
        <f>IF(AF22,E22,"")</f>
        <v/>
      </c>
      <c r="AH22">
        <f>IF(W22,E22,"")</f>
        <v/>
      </c>
      <c r="AI22">
        <f>IF(Y22,E22,"")</f>
        <v/>
      </c>
      <c r="AJ22">
        <f>IF(AE22,E22,"")</f>
        <v/>
      </c>
      <c r="AK22">
        <f>IF(Z22+T22&gt;1,1,0)</f>
        <v/>
      </c>
    </row>
    <row r="23">
      <c r="A23">
        <f>1+A22</f>
        <v/>
      </c>
      <c r="C23" s="2" t="inlineStr">
        <is>
          <t xml:space="preserve">ArXiv </t>
        </is>
      </c>
      <c r="D23" t="inlineStr">
        <is>
          <t xml:space="preserve"> ComSum: Commit Messages Summarization and Meaning Preservation</t>
        </is>
      </c>
      <c r="E23" t="inlineStr">
        <is>
          <t>DBLP:journals/corr/abs-2108-10763</t>
        </is>
      </c>
      <c r="F23" t="inlineStr">
        <is>
          <t xml:space="preserve"> Leshem Choshen &amp; Idan Amit</t>
        </is>
      </c>
      <c r="G23" t="n">
        <v>2021</v>
      </c>
      <c r="H23" t="n">
        <v>1</v>
      </c>
      <c r="O23" t="n">
        <v>1</v>
      </c>
      <c r="R23" t="n">
        <v>1</v>
      </c>
      <c r="S23" s="4" t="n"/>
      <c r="W23" t="n">
        <v>1</v>
      </c>
      <c r="AA23" t="n">
        <v>1</v>
      </c>
      <c r="AD23" t="n">
        <v>1</v>
      </c>
      <c r="AE23">
        <f>IF(SUM(Y23,T23,P23,W23),0,1)</f>
        <v/>
      </c>
      <c r="AF23">
        <f>IF(SUM(T23,P23)&gt;0,1,0)</f>
        <v/>
      </c>
      <c r="AG23">
        <f>IF(AF23,E23,"")</f>
        <v/>
      </c>
      <c r="AH23">
        <f>IF(W23,E23,"")</f>
        <v/>
      </c>
      <c r="AI23">
        <f>IF(Y23,E23,"")</f>
        <v/>
      </c>
      <c r="AJ23">
        <f>IF(AE23,E23,"")</f>
        <v/>
      </c>
      <c r="AK23">
        <f>IF(Z23+T23&gt;1,1,0)</f>
        <v/>
      </c>
    </row>
    <row r="24">
      <c r="A24">
        <f>1+A23</f>
        <v/>
      </c>
      <c r="C24" s="2" t="inlineStr">
        <is>
          <t xml:space="preserve">ArXiv* </t>
        </is>
      </c>
      <c r="D24" t="inlineStr">
        <is>
          <t xml:space="preserve"> Fusing finetuned models for better pretraining</t>
        </is>
      </c>
      <c r="E24" t="inlineStr">
        <is>
          <t>Choshen2022FusingFM</t>
        </is>
      </c>
      <c r="F24" t="inlineStr">
        <is>
          <t xml:space="preserve"> Leshem Choshen, Elad Venezian, Noam Slonim, Yoav Katz</t>
        </is>
      </c>
      <c r="G24" t="n">
        <v>2022</v>
      </c>
      <c r="H24" t="n">
        <v>1</v>
      </c>
      <c r="K24" t="n">
        <v>1</v>
      </c>
      <c r="P24" t="n">
        <v>1</v>
      </c>
      <c r="Q24" t="n">
        <v>1</v>
      </c>
      <c r="S24" s="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D24" t="n">
        <v>1</v>
      </c>
      <c r="AE24">
        <f>IF(SUM(Y24,T24,P24,W24),0,1)</f>
        <v/>
      </c>
      <c r="AF24">
        <f>IF(SUM(T24,P24)&gt;0,1,0)</f>
        <v/>
      </c>
      <c r="AG24">
        <f>IF(AF24,E24,"")</f>
        <v/>
      </c>
      <c r="AH24">
        <f>IF(W24,E24,"")</f>
        <v/>
      </c>
      <c r="AI24">
        <f>IF(Y24,E24,"")</f>
        <v/>
      </c>
      <c r="AJ24">
        <f>IF(AE24,E24,"")</f>
        <v/>
      </c>
    </row>
    <row r="25">
      <c r="A25">
        <f>1+A24</f>
        <v/>
      </c>
      <c r="C25" s="1" t="inlineStr">
        <is>
          <t>LREC2022</t>
        </is>
      </c>
      <c r="D25" t="inlineStr">
        <is>
          <t xml:space="preserve"> GrASP: A Library for Extracting and Exploring Human-Interpretable Textual Patterns</t>
        </is>
      </c>
      <c r="E25" t="inlineStr">
        <is>
          <t>DBLP:conf/lrec/Lertvittayakumjorn22</t>
        </is>
      </c>
      <c r="F25" t="inlineStr">
        <is>
          <t xml:space="preserve"> Piyawat Lertvittayakumjorn, Leshem Choshen, Eyal Shnarch, Francesca Toni</t>
        </is>
      </c>
      <c r="G25" t="n">
        <v>2022</v>
      </c>
      <c r="H25" t="n">
        <v>1</v>
      </c>
      <c r="O25" t="n">
        <v>1</v>
      </c>
      <c r="P25" t="n">
        <v>1</v>
      </c>
      <c r="Q25" t="n">
        <v>1</v>
      </c>
      <c r="S25" s="4" t="n"/>
      <c r="T25" t="n">
        <v>1</v>
      </c>
      <c r="W25" t="n">
        <v>1</v>
      </c>
      <c r="Y25" t="n">
        <v>1</v>
      </c>
      <c r="Z25" t="n">
        <v>1</v>
      </c>
      <c r="AA25" t="n">
        <v>1</v>
      </c>
      <c r="AD25" t="n">
        <v>1</v>
      </c>
      <c r="AE25">
        <f>IF(SUM(Y25,T25,P25,W25),0,1)</f>
        <v/>
      </c>
      <c r="AF25">
        <f>IF(SUM(T25,P25)&gt;0,1,0)</f>
        <v/>
      </c>
      <c r="AG25">
        <f>IF(AF25,E25,"")</f>
        <v/>
      </c>
      <c r="AH25">
        <f>IF(W25,E25,"")</f>
        <v/>
      </c>
      <c r="AI25">
        <f>IF(Y25,E25,"")</f>
        <v/>
      </c>
      <c r="AJ25">
        <f>IF(AE25,E25,"")</f>
        <v/>
      </c>
      <c r="AK25">
        <f>IF(Z25+T25&gt;1,1,0)</f>
        <v/>
      </c>
    </row>
    <row r="26">
      <c r="A26">
        <f>1+A25</f>
        <v/>
      </c>
      <c r="C26" s="2" t="inlineStr">
        <is>
          <t xml:space="preserve">SEM </t>
        </is>
      </c>
      <c r="D26" t="inlineStr">
        <is>
          <t xml:space="preserve"> Semantics-aware Attention Improves Neural Machine Translation</t>
        </is>
      </c>
      <c r="E26" t="inlineStr">
        <is>
          <t>DBLP:conf/starsem/SlobodkinCA22</t>
        </is>
      </c>
      <c r="F26" t="inlineStr">
        <is>
          <t xml:space="preserve"> Aviv Slobodkin, Leshem Choshen, Omri Abend</t>
        </is>
      </c>
      <c r="G26" t="n">
        <v>2023</v>
      </c>
      <c r="H26" t="n">
        <v>1</v>
      </c>
      <c r="P26" t="n">
        <v>1</v>
      </c>
      <c r="Q26" t="n">
        <v>1</v>
      </c>
      <c r="S26" s="4" t="n">
        <v>1</v>
      </c>
      <c r="V26" t="n">
        <v>1</v>
      </c>
      <c r="Z26" t="n">
        <v>1</v>
      </c>
      <c r="AA26" t="n">
        <v>1</v>
      </c>
      <c r="AB26" t="n">
        <v>1</v>
      </c>
      <c r="AD26" t="n">
        <v>1</v>
      </c>
      <c r="AE26">
        <f>IF(SUM(Y26,T26,P26,W26),0,1)</f>
        <v/>
      </c>
      <c r="AF26">
        <f>IF(SUM(T26,P26)&gt;0,1,0)</f>
        <v/>
      </c>
      <c r="AG26">
        <f>IF(AF26,E26,"")</f>
        <v/>
      </c>
      <c r="AH26">
        <f>IF(W26,E26,"")</f>
        <v/>
      </c>
      <c r="AI26">
        <f>IF(Y26,E26,"")</f>
        <v/>
      </c>
      <c r="AJ26">
        <f>IF(AE26,E26,"")</f>
        <v/>
      </c>
      <c r="AK26">
        <f>IF(Z26+T26&gt;1,1,0)</f>
        <v/>
      </c>
    </row>
    <row r="27">
      <c r="A27">
        <f>1+A26</f>
        <v/>
      </c>
      <c r="C27" s="1" t="inlineStr">
        <is>
          <t xml:space="preserve">Arxiv* </t>
        </is>
      </c>
      <c r="D27" t="inlineStr">
        <is>
          <t xml:space="preserve"> Some Grammatical Errors are Frequent, Others are Important</t>
        </is>
      </c>
      <c r="E27" t="inlineStr">
        <is>
          <t>DBLP:journals/corr/abs-2205-05730</t>
        </is>
      </c>
      <c r="F27" t="inlineStr">
        <is>
          <t xml:space="preserve"> Leshem Choshen, Ofir Shifman and Omri Abend</t>
        </is>
      </c>
      <c r="G27" t="n">
        <v>2023</v>
      </c>
      <c r="H27" t="n">
        <v>1</v>
      </c>
      <c r="O27" t="n">
        <v>1</v>
      </c>
      <c r="P27" t="n">
        <v>1</v>
      </c>
      <c r="Q27" t="n">
        <v>1</v>
      </c>
      <c r="R27" t="n">
        <v>1</v>
      </c>
      <c r="S27" s="4" t="n"/>
      <c r="T27" t="n">
        <v>1</v>
      </c>
      <c r="V27" t="n">
        <v>1</v>
      </c>
      <c r="W27" t="n">
        <v>1</v>
      </c>
      <c r="X27" t="n">
        <v>1</v>
      </c>
      <c r="AA27" t="n">
        <v>1</v>
      </c>
      <c r="AD27" t="n">
        <v>1</v>
      </c>
      <c r="AE27">
        <f>IF(SUM(Y27,T27,P27,W27),0,1)</f>
        <v/>
      </c>
      <c r="AF27">
        <f>IF(SUM(T27,P27)&gt;0,1,0)</f>
        <v/>
      </c>
      <c r="AG27">
        <f>IF(AF27,E27,"")</f>
        <v/>
      </c>
      <c r="AH27">
        <f>IF(W27,E27,"")</f>
        <v/>
      </c>
      <c r="AI27">
        <f>IF(Y27,E27,"")</f>
        <v/>
      </c>
      <c r="AJ27">
        <f>IF(AE27,E27,"")</f>
        <v/>
      </c>
      <c r="AK27">
        <f>IF(Z27+T27&gt;1,1,0)</f>
        <v/>
      </c>
    </row>
    <row r="28">
      <c r="A28">
        <f>1+A27</f>
        <v/>
      </c>
      <c r="B28">
        <f t="array" ref="B28">_xlfn.IFS(ISBLANK(D28),"",ISBLANK(C28),"no venue",ISBLANK(E28),"no bib",ISNUMBER(SEARCH("xiv", C28)),"arxiv",SUM(I28:AA28)&lt;3,"no categories",TRUE,"")</f>
        <v/>
      </c>
      <c r="C28" s="1" t="inlineStr">
        <is>
          <t xml:space="preserve">ACL2022 </t>
        </is>
      </c>
      <c r="D28" t="inlineStr">
        <is>
          <t xml:space="preserve"> Cluster &amp; Tune: Boost BERT Cold Start Performance in Topical Text Classification</t>
        </is>
      </c>
      <c r="E28" t="inlineStr">
        <is>
          <t>DBLP:conf/acl/ShnarchGHDCAS22</t>
        </is>
      </c>
      <c r="F28" t="inlineStr">
        <is>
          <t xml:space="preserve"> Eyal Shnarch, Ariel Gera, Alon Halfon, Lena Dankin, Leshem Choshen, Ranit Aharonov, Noam Slonim</t>
        </is>
      </c>
      <c r="G28" t="n">
        <v>2023</v>
      </c>
      <c r="H28" t="n">
        <v>1</v>
      </c>
      <c r="Q28" t="n">
        <v>1</v>
      </c>
      <c r="S28" s="4" t="n">
        <v>1</v>
      </c>
      <c r="Z28" t="n">
        <v>1</v>
      </c>
      <c r="AA28" t="n">
        <v>1</v>
      </c>
      <c r="AD28" t="n">
        <v>1</v>
      </c>
      <c r="AE28">
        <f>IF(SUM(Y28,T28,P28,W28),0,1)</f>
        <v/>
      </c>
      <c r="AF28">
        <f>IF(SUM(T28,P28)&gt;0,1,0)</f>
        <v/>
      </c>
      <c r="AG28">
        <f>IF(AF28,E28,"")</f>
        <v/>
      </c>
      <c r="AH28">
        <f>IF(W28,E28,"")</f>
        <v/>
      </c>
      <c r="AI28">
        <f>IF(Y28,E28,"")</f>
        <v/>
      </c>
      <c r="AJ28">
        <f>IF(AE28,E28,"")</f>
        <v/>
      </c>
      <c r="AK28">
        <f>IF(Z28+T28&gt;1,1,0)</f>
        <v/>
      </c>
    </row>
    <row r="29">
      <c r="A29">
        <f>1+A28</f>
        <v/>
      </c>
      <c r="B29">
        <f t="array" ref="B29">_xlfn.IFS(ISBLANK(D29),"",ISBLANK(C29),"no venue",ISBLANK(E29),"no bib",ISNUMBER(SEARCH("xiv", C29)),"arxiv",SUM(I29:AA29)&lt;3,"no categories",TRUE,"")</f>
        <v/>
      </c>
      <c r="C29" s="1" t="inlineStr">
        <is>
          <t xml:space="preserve">ACL2022* </t>
        </is>
      </c>
      <c r="D29" t="inlineStr">
        <is>
          <t xml:space="preserve"> The Grammar-Learning Trajectories of Neural Language Models</t>
        </is>
      </c>
      <c r="E29" t="inlineStr">
        <is>
          <t>DBLP:conf/acl/ChoshenHWA22</t>
        </is>
      </c>
      <c r="F29" t="inlineStr">
        <is>
          <t xml:space="preserve"> Leshem Choshen, Guy Hacohen, Daphna Weinshall, Omri Abend</t>
        </is>
      </c>
      <c r="G29" t="n">
        <v>2023</v>
      </c>
      <c r="H29" t="n">
        <v>1</v>
      </c>
      <c r="P29" t="n">
        <v>1</v>
      </c>
      <c r="S29" s="4" t="n"/>
      <c r="V29" t="n">
        <v>1</v>
      </c>
      <c r="AA29" t="n">
        <v>1</v>
      </c>
      <c r="AD29" t="n">
        <v>1</v>
      </c>
      <c r="AE29">
        <f>IF(SUM(Y29,T29,P29,W29),0,1)</f>
        <v/>
      </c>
      <c r="AF29">
        <f>IF(SUM(T29,P29)&gt;0,1,0)</f>
        <v/>
      </c>
      <c r="AG29">
        <f>IF(AF29,E29,"")</f>
        <v/>
      </c>
      <c r="AH29">
        <f>IF(W29,E29,"")</f>
        <v/>
      </c>
      <c r="AI29">
        <f>IF(Y29,E29,"")</f>
        <v/>
      </c>
      <c r="AJ29">
        <f>IF(AE29,E29,"")</f>
        <v/>
      </c>
      <c r="AK29">
        <f>IF(Z29+T29&gt;1,1,0)</f>
        <v/>
      </c>
    </row>
    <row r="30">
      <c r="A30">
        <f>1+A29</f>
        <v/>
      </c>
      <c r="B30">
        <f t="array" ref="B30">_xlfn.IFS(ISBLANK(D30),"",ISBLANK(C30),"no venue",ISBLANK(E30),"no bib",ISNUMBER(SEARCH("xiv", C30)),"arxiv",SUM(I30:AA30)&lt;3,"no categories",TRUE,"")</f>
        <v/>
      </c>
      <c r="C30" s="1" t="inlineStr">
        <is>
          <t xml:space="preserve">EMNLP2022 </t>
        </is>
      </c>
      <c r="D30" t="inlineStr">
        <is>
          <t xml:space="preserve"> Label Sleuth: From Unlabeled Text to a Classifier in a Few Hours</t>
        </is>
      </c>
      <c r="E30" t="inlineStr">
        <is>
          <t>DBLP:conf/emnlp/ShnarchHGDKCCEZW22</t>
        </is>
      </c>
      <c r="F30" t="inlineStr">
        <is>
          <t>Eyal Shnarch, Alon Halfon, Ariel Gera, Marina Danilevsky, Yannis Katsis, Leshem Choshen, Martin Santillan Cooper, Dina Epelboim, Zheng Zhang, Dakuo Wang, Lucy Yip, Liat Ein-Dor, Lena Dankin, Ilya Koifman, Noam Slonim, Yoav Katz Shnayderman, Ranit Aharonov, Yunyao Li, Naftali Liberman, Philip Levin Slesarev, Gwilym Newton, Shila Ofek</t>
        </is>
      </c>
      <c r="G30" t="n">
        <v>2023</v>
      </c>
      <c r="H30" t="n">
        <v>1</v>
      </c>
      <c r="O30" t="n">
        <v>1</v>
      </c>
      <c r="Q30" t="n">
        <v>1</v>
      </c>
      <c r="S30" s="4" t="n">
        <v>1</v>
      </c>
      <c r="T30" t="n">
        <v>1</v>
      </c>
      <c r="W30" t="n">
        <v>1</v>
      </c>
      <c r="Y30" t="n">
        <v>1</v>
      </c>
      <c r="Z30" t="n">
        <v>1</v>
      </c>
      <c r="AA30" t="n">
        <v>1</v>
      </c>
      <c r="AD30" t="n">
        <v>1</v>
      </c>
      <c r="AE30">
        <f>IF(SUM(Y30,T30,P30,W30),0,1)</f>
        <v/>
      </c>
      <c r="AF30">
        <f>IF(SUM(T30,P30)&gt;0,1,0)</f>
        <v/>
      </c>
      <c r="AG30">
        <f>IF(AF30,E30,"")</f>
        <v/>
      </c>
      <c r="AH30">
        <f>IF(W30,E30,"")</f>
        <v/>
      </c>
      <c r="AI30">
        <f>IF(Y30,E30,"")</f>
        <v/>
      </c>
      <c r="AJ30">
        <f>IF(AE30,E30,"")</f>
        <v/>
      </c>
      <c r="AK30">
        <f>IF(Z30+T30&gt;1,1,0)</f>
        <v/>
      </c>
    </row>
    <row r="31">
      <c r="A31">
        <f>1+A30</f>
        <v/>
      </c>
      <c r="B31">
        <f t="array" ref="B31">_xlfn.IFS(ISBLANK(D31),"",ISBLANK(C31),"no venue",ISBLANK(E31),"no bib",ISNUMBER(SEARCH("xiv", C31)),"arxiv",SUM(I31:AA31)&lt;3,"no categories",TRUE,"")</f>
        <v/>
      </c>
      <c r="C31" s="1" t="inlineStr">
        <is>
          <t>COLING2022</t>
        </is>
      </c>
      <c r="D31" t="inlineStr">
        <is>
          <t xml:space="preserve"> Tackling large action spaces in machine translation</t>
        </is>
      </c>
      <c r="E31" s="4" t="inlineStr">
        <is>
          <t>DBLP:conf/coling/YehudaiCFA22</t>
        </is>
      </c>
      <c r="F31" t="inlineStr">
        <is>
          <t xml:space="preserve"> Assaf Yehudai, Leshem Choshen, Omri Abend</t>
        </is>
      </c>
      <c r="G31" t="n">
        <v>2023</v>
      </c>
      <c r="H31" t="n">
        <v>1</v>
      </c>
      <c r="P31" t="n">
        <v>1</v>
      </c>
      <c r="Q31" t="n">
        <v>1</v>
      </c>
      <c r="S31" s="4" t="n">
        <v>1</v>
      </c>
      <c r="AA31" t="n">
        <v>1</v>
      </c>
      <c r="AD31" t="n">
        <v>1</v>
      </c>
      <c r="AE31">
        <f>IF(SUM(Y31,T31,P31,W31),0,1)</f>
        <v/>
      </c>
      <c r="AF31">
        <f>IF(SUM(T31,P31)&gt;0,1,0)</f>
        <v/>
      </c>
      <c r="AG31">
        <f>IF(AF31,E31,"")</f>
        <v/>
      </c>
      <c r="AH31">
        <f>IF(W31,E31,"")</f>
        <v/>
      </c>
      <c r="AI31">
        <f>IF(Y31,E31,"")</f>
        <v/>
      </c>
      <c r="AJ31">
        <f>IF(AE31,E31,"")</f>
        <v/>
      </c>
      <c r="AK31">
        <f>IF(Z31+T31&gt;1,1,0)</f>
        <v/>
      </c>
    </row>
    <row r="32">
      <c r="A32">
        <f>1+A31</f>
        <v/>
      </c>
      <c r="B32">
        <f t="array" ref="B32">_xlfn.IFS(ISBLANK(D32),"",ISBLANK(C32),"no venue",ISBLANK(E32),"no bib",ISNUMBER(SEARCH("xiv", C32)),"arxiv",SUM(I32:AA32)&lt;3,"no categories",TRUE,"")</f>
        <v/>
      </c>
      <c r="C32" s="1" t="inlineStr">
        <is>
          <t xml:space="preserve">CoNLL2022* </t>
        </is>
      </c>
      <c r="D32" s="2" t="inlineStr">
        <is>
          <t>Enhancing the Transformer Decoder with Transition-based Syntax‏</t>
        </is>
      </c>
      <c r="E32" s="9" t="inlineStr">
        <is>
          <t>DBLP:conf/conll/ChoshenA22</t>
        </is>
      </c>
      <c r="F32" t="inlineStr">
        <is>
          <t xml:space="preserve"> Leshem Choshen, Omri Abend</t>
        </is>
      </c>
      <c r="G32" t="n">
        <v>2023</v>
      </c>
      <c r="H32" t="n">
        <v>1</v>
      </c>
      <c r="O32" t="n">
        <v>1</v>
      </c>
      <c r="P32" t="n">
        <v>1</v>
      </c>
      <c r="Q32" t="n">
        <v>1</v>
      </c>
      <c r="S32" s="4" t="n">
        <v>1</v>
      </c>
      <c r="V32" t="n">
        <v>1</v>
      </c>
      <c r="Z32" t="n">
        <v>1</v>
      </c>
      <c r="AA32" t="n">
        <v>1</v>
      </c>
      <c r="AD32" t="n">
        <v>1</v>
      </c>
      <c r="AE32">
        <f>IF(SUM(Y32,T32,P32,W32),0,1)</f>
        <v/>
      </c>
      <c r="AF32">
        <f>IF(SUM(T32,P32)&gt;0,1,0)</f>
        <v/>
      </c>
      <c r="AG32">
        <f>IF(AF32,E32,"")</f>
        <v/>
      </c>
      <c r="AH32">
        <f>IF(W32,E32,"")</f>
        <v/>
      </c>
      <c r="AI32">
        <f>IF(Y32,E32,"")</f>
        <v/>
      </c>
      <c r="AJ32">
        <f>IF(AE32,E32,"")</f>
        <v/>
      </c>
      <c r="AK32">
        <f>IF(Z32+T32&gt;1,1,0)</f>
        <v/>
      </c>
    </row>
    <row r="33">
      <c r="A33">
        <f>1+A32</f>
        <v/>
      </c>
      <c r="B33">
        <f t="array" ref="B33">_xlfn.IFS(ISBLANK(D33),"",ISBLANK(C33),"no venue",ISBLANK(E33),"no bib",ISNUMBER(SEARCH("xiv", C33)),"arxiv",SUM(I33:AA33)&lt;3,"no categories",TRUE,"")</f>
        <v/>
      </c>
      <c r="C33" s="1" t="inlineStr">
        <is>
          <t xml:space="preserve">CoNLL2022 (also Blackbox NLP) </t>
        </is>
      </c>
      <c r="D33" t="inlineStr">
        <is>
          <t xml:space="preserve"> On the Representation of Sentence Structural Invariances in Neural Machine Translation</t>
        </is>
      </c>
      <c r="E33" t="inlineStr">
        <is>
          <t>DBLP:conf/conll/PatelCA22</t>
        </is>
      </c>
      <c r="F33" t="inlineStr">
        <is>
          <t xml:space="preserve"> Gal Patel, Leshem Choshen, Omri Abend</t>
        </is>
      </c>
      <c r="G33" t="n">
        <v>2023</v>
      </c>
      <c r="H33" t="n">
        <v>1</v>
      </c>
      <c r="P33" t="n">
        <v>1</v>
      </c>
      <c r="S33" s="4" t="n"/>
      <c r="V33" t="n">
        <v>1</v>
      </c>
      <c r="AA33" t="n">
        <v>1</v>
      </c>
      <c r="AD33" t="n">
        <v>1</v>
      </c>
      <c r="AE33">
        <f>IF(SUM(Y33,T33,P33,W33),0,1)</f>
        <v/>
      </c>
      <c r="AF33">
        <f>IF(SUM(T33,P33)&gt;0,1,0)</f>
        <v/>
      </c>
      <c r="AG33">
        <f>IF(AF33,E33,"")</f>
        <v/>
      </c>
      <c r="AH33">
        <f>IF(W33,E33,"")</f>
        <v/>
      </c>
      <c r="AI33">
        <f>IF(Y33,E33,"")</f>
        <v/>
      </c>
      <c r="AJ33">
        <f>IF(AE33,E33,"")</f>
        <v/>
      </c>
      <c r="AK33">
        <f>IF(Z33+T33&gt;1,1,0)</f>
        <v/>
      </c>
    </row>
    <row r="34">
      <c r="A34">
        <f>1+A33</f>
        <v/>
      </c>
      <c r="B34">
        <f t="array" ref="B34">_xlfn.IFS(ISBLANK(D34),"",ISBLANK(C34),"no venue",ISBLANK(E34),"no bib",ISNUMBER(SEARCH("xiv", C34)),"arxiv",SUM(I34:AA34)&lt;3,"no categories",TRUE,"")</f>
        <v/>
      </c>
      <c r="C34" s="1" t="inlineStr">
        <is>
          <t xml:space="preserve">EMNLP2022 </t>
        </is>
      </c>
      <c r="D34" t="inlineStr">
        <is>
          <t xml:space="preserve"> PreQuEL: Quality Estimation of Machine Translation Outputs in Advance</t>
        </is>
      </c>
      <c r="E34" t="inlineStr">
        <is>
          <t>DBLP:conf/emnlp/Don-YehiyaCA22</t>
        </is>
      </c>
      <c r="F34" t="inlineStr">
        <is>
          <t xml:space="preserve"> Shachar Don-Yechia, Leshem Choshen, Omri Abend </t>
        </is>
      </c>
      <c r="G34" t="n">
        <v>2023</v>
      </c>
      <c r="H34" t="n">
        <v>1</v>
      </c>
      <c r="M34" t="n">
        <v>1</v>
      </c>
      <c r="P34" t="n">
        <v>1</v>
      </c>
      <c r="Q34" t="n">
        <v>1</v>
      </c>
      <c r="S34" s="4" t="n"/>
      <c r="T34" t="n">
        <v>1</v>
      </c>
      <c r="AA34" t="n">
        <v>1</v>
      </c>
      <c r="AD34" t="n">
        <v>1</v>
      </c>
      <c r="AE34">
        <f>IF(SUM(Y34,T34,P34,W34),0,1)</f>
        <v/>
      </c>
      <c r="AF34">
        <f>IF(SUM(T34,P34)&gt;0,1,0)</f>
        <v/>
      </c>
      <c r="AG34">
        <f>IF(AF34,E34,"")</f>
        <v/>
      </c>
      <c r="AH34">
        <f>IF(W34,E34,"")</f>
        <v/>
      </c>
      <c r="AI34">
        <f>IF(Y34,E34,"")</f>
        <v/>
      </c>
      <c r="AJ34">
        <f>IF(AE34,E34,"")</f>
        <v/>
      </c>
    </row>
    <row r="35">
      <c r="A35">
        <f>1+A34</f>
        <v/>
      </c>
      <c r="B35">
        <f t="array" ref="B35">_xlfn.IFS(ISBLANK(D35),"",ISBLANK(C35),"no venue",ISBLANK(E35),"no bib",ISNUMBER(SEARCH("xiv", C35)),"arxiv",SUM(I35:AA35)&lt;3,"no categories",TRUE,"")</f>
        <v/>
      </c>
      <c r="C35" s="1" t="inlineStr">
        <is>
          <t xml:space="preserve">ACL2023 </t>
        </is>
      </c>
      <c r="D35" t="inlineStr">
        <is>
          <t xml:space="preserve"> DisentQA: Disentangling Parametric and Contextual Knowledge with Counterfactual Question Answering</t>
        </is>
      </c>
      <c r="E35" t="inlineStr">
        <is>
          <t>DBLP:conf/acl/NeemanAHCSA23</t>
        </is>
      </c>
      <c r="F35" t="inlineStr">
        <is>
          <t xml:space="preserve"> Ella Neeman, Roee Aharoni, Or Honovich, Leshem Choshen, Idan Szpektor, Omri Abend</t>
        </is>
      </c>
      <c r="G35" t="n">
        <v>2023</v>
      </c>
      <c r="H35" t="n">
        <v>1</v>
      </c>
      <c r="P35" t="n">
        <v>1</v>
      </c>
      <c r="Q35" t="n">
        <v>1</v>
      </c>
      <c r="S35" s="4" t="n">
        <v>1</v>
      </c>
      <c r="AA35" t="n">
        <v>1</v>
      </c>
      <c r="AD35" t="n">
        <v>1</v>
      </c>
      <c r="AE35">
        <f>IF(SUM(Y35,T35,P35,W35),0,1)</f>
        <v/>
      </c>
      <c r="AF35">
        <f>IF(SUM(T35,P35)&gt;0,1,0)</f>
        <v/>
      </c>
      <c r="AG35">
        <f>IF(AF35,E35,"")</f>
        <v/>
      </c>
      <c r="AH35">
        <f>IF(W35,E35,"")</f>
        <v/>
      </c>
      <c r="AI35">
        <f>IF(Y35,E35,"")</f>
        <v/>
      </c>
      <c r="AJ35">
        <f>IF(AE35,E35,"")</f>
        <v/>
      </c>
      <c r="AK35">
        <f>IF(Z35+T35&gt;1,1,0)</f>
        <v/>
      </c>
    </row>
    <row r="36">
      <c r="A36">
        <f>1+A35</f>
        <v/>
      </c>
      <c r="B36">
        <f t="array" ref="B36">_xlfn.IFS(ISBLANK(D36),"",ISBLANK(C36),"no venue",ISBLANK(E36),"no bib",ISNUMBER(SEARCH("xiv", C36)),"arxiv",SUM(I36:AA36)&lt;3,"no categories",TRUE,"")</f>
        <v/>
      </c>
      <c r="C36" s="1" t="inlineStr">
        <is>
          <t xml:space="preserve">ACL2023^ </t>
        </is>
      </c>
      <c r="D36" t="inlineStr">
        <is>
          <t xml:space="preserve"> ColD Fusion: Collaborative Descent for Distributed Multitask Finetuning</t>
        </is>
      </c>
      <c r="E36" t="inlineStr">
        <is>
          <t>DBLP:conf/acl/Don-YehiyaVRSC23</t>
        </is>
      </c>
      <c r="F36" t="inlineStr">
        <is>
          <t xml:space="preserve"> Shachar Don-Yehia, Elad Venezian, Colin Raffel, Noam Slonim, Yoav Katz, Leshem Choshen </t>
        </is>
      </c>
      <c r="G36" t="n">
        <v>2023</v>
      </c>
      <c r="H36" t="n">
        <v>1</v>
      </c>
      <c r="K36" t="n">
        <v>1</v>
      </c>
      <c r="Q36" t="n">
        <v>1</v>
      </c>
      <c r="S36" s="4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D36" t="n">
        <v>1</v>
      </c>
      <c r="AE36">
        <f>IF(SUM(Y36,T36,P36,W36),0,1)</f>
        <v/>
      </c>
      <c r="AF36">
        <f>IF(SUM(T36,P36)&gt;0,1,0)</f>
        <v/>
      </c>
      <c r="AG36">
        <f>IF(AF36,E36,"")</f>
        <v/>
      </c>
      <c r="AH36">
        <f>IF(W36,E36,"")</f>
        <v/>
      </c>
      <c r="AI36">
        <f>IF(Y36,E36,"")</f>
        <v/>
      </c>
      <c r="AJ36">
        <f>IF(AE36,E36,"")</f>
        <v/>
      </c>
    </row>
    <row r="37">
      <c r="A37">
        <f>1+A36</f>
        <v/>
      </c>
      <c r="B37">
        <f t="array" ref="B37">_xlfn.IFS(ISBLANK(D37),"",ISBLANK(C37),"no venue",ISBLANK(E37),"no bib",ISNUMBER(SEARCH("xiv", C37)),"arxiv",SUM(I37:AA37)&lt;3,"no categories",TRUE,"")</f>
        <v/>
      </c>
      <c r="C37" s="1" t="inlineStr">
        <is>
          <t>CoNLL2023</t>
        </is>
      </c>
      <c r="D37" t="inlineStr">
        <is>
          <t>Findings of the {B}aby{LM} Challenge: Sample-Efficient Pretraining on Developmentally Plausible Corpora</t>
        </is>
      </c>
      <c r="E37" t="inlineStr">
        <is>
          <t>warstadt2023findings</t>
        </is>
      </c>
      <c r="F37" t="inlineStr">
        <is>
          <t xml:space="preserve"> Alex Warstadt, Aaron Mueller, Leshem Choshen, Ethan Gotlieb Wilcox, Chengxu Zhuang, Adina Williams, Ryan Cotterell, Tal Linzen</t>
        </is>
      </c>
      <c r="G37" t="n">
        <v>2023</v>
      </c>
      <c r="H37" t="n">
        <v>1</v>
      </c>
      <c r="I37" t="n">
        <v>1</v>
      </c>
      <c r="O37" t="n">
        <v>1</v>
      </c>
      <c r="P37" t="n">
        <v>1</v>
      </c>
      <c r="R37" t="n">
        <v>1</v>
      </c>
      <c r="S37" s="4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D37" t="n">
        <v>1</v>
      </c>
      <c r="AE37">
        <f>IF(SUM(Y37,T37,P37,W37),0,1)</f>
        <v/>
      </c>
      <c r="AF37">
        <f>IF(SUM(T37,P37)&gt;0,1,0)</f>
        <v/>
      </c>
      <c r="AG37">
        <f>IF(AF37,E37,"")</f>
        <v/>
      </c>
      <c r="AH37">
        <f>IF(W37,E37,"")</f>
        <v/>
      </c>
      <c r="AI37">
        <f>IF(Y37,E37,"")</f>
        <v/>
      </c>
      <c r="AK37">
        <f>IF(Z37+T37&gt;1,1,0)</f>
        <v/>
      </c>
    </row>
    <row r="38">
      <c r="A38">
        <f>1+A37</f>
        <v/>
      </c>
      <c r="B38">
        <f t="array" ref="B38">_xlfn.IFS(ISBLANK(D38),"",ISBLANK(C38),"no venue",ISBLANK(E38),"no bib",ISNUMBER(SEARCH("xiv", C38)),"arxiv",SUM(I38:AA38)&lt;3,"no categories",TRUE,"")</f>
        <v/>
      </c>
      <c r="C38" s="1" t="inlineStr">
        <is>
          <t xml:space="preserve">EMNLP2023 </t>
        </is>
      </c>
      <c r="D38" t="inlineStr">
        <is>
          <t xml:space="preserve"> Where to start? Analyzing the potential value of intermediate models</t>
        </is>
      </c>
      <c r="E38" t="inlineStr">
        <is>
          <t>DBLP:conf/emnlp/ChoshenVDSK23</t>
        </is>
      </c>
      <c r="F38" t="inlineStr">
        <is>
          <t xml:space="preserve"> Leshem Choshen, Elad Venezian, Shachar Don-Yechia, Yoav Katz, Noam Slonim</t>
        </is>
      </c>
      <c r="G38" t="n">
        <v>2023</v>
      </c>
      <c r="H38" t="n">
        <v>1</v>
      </c>
      <c r="K38" t="n">
        <v>1</v>
      </c>
      <c r="O38" t="n">
        <v>1</v>
      </c>
      <c r="P38" t="n">
        <v>1</v>
      </c>
      <c r="Q38" t="n">
        <v>1</v>
      </c>
      <c r="R38" t="n">
        <v>1</v>
      </c>
      <c r="S38" s="4" t="n">
        <v>1</v>
      </c>
      <c r="T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D38" t="n">
        <v>1</v>
      </c>
      <c r="AE38">
        <f>IF(SUM(Y38,T38,P38,W38),0,1)</f>
        <v/>
      </c>
      <c r="AF38">
        <f>IF(SUM(T38,P38)&gt;0,1,0)</f>
        <v/>
      </c>
      <c r="AG38">
        <f>IF(AF38,E38,"")</f>
        <v/>
      </c>
      <c r="AH38">
        <f>IF(W38,E38,"")</f>
        <v/>
      </c>
      <c r="AI38">
        <f>IF(Y38,E38,"")</f>
        <v/>
      </c>
      <c r="AJ38">
        <f>IF(AE38,E38,"")</f>
        <v/>
      </c>
    </row>
    <row r="39">
      <c r="A39">
        <f>1+A38</f>
        <v/>
      </c>
      <c r="B39">
        <f t="array" ref="B39">_xlfn.IFS(ISBLANK(D39),"",ISBLANK(C39),"no venue",ISBLANK(E39),"no bib",ISNUMBER(SEARCH("xiv", C39)),"arxiv",SUM(I39:AA39)&lt;3,"no categories",TRUE,"")</f>
        <v/>
      </c>
      <c r="C39" s="1" t="inlineStr">
        <is>
          <t xml:space="preserve">EMNLP2023 </t>
        </is>
      </c>
      <c r="D39" t="inlineStr">
        <is>
          <t xml:space="preserve"> Knowledge is a Region in Weight Space for Fine-tuned Language Models</t>
        </is>
      </c>
      <c r="E39" t="inlineStr">
        <is>
          <t>DBLP:conf/emnlp/GuetaVRSKC23</t>
        </is>
      </c>
      <c r="F39" t="inlineStr">
        <is>
          <t>Almog Gueta, Elad Venezian, Colin Raffel, Noam Slonim, Yoav Katz, Leshem Choshen</t>
        </is>
      </c>
      <c r="G39" t="n">
        <v>2023</v>
      </c>
      <c r="H39" t="n">
        <v>1</v>
      </c>
      <c r="K39" t="n">
        <v>1</v>
      </c>
      <c r="P39" t="n">
        <v>1</v>
      </c>
      <c r="S39" s="4" t="n"/>
      <c r="AA39" t="n">
        <v>1</v>
      </c>
      <c r="AD39" t="n">
        <v>1</v>
      </c>
      <c r="AE39">
        <f>IF(SUM(Y39,T39,P39,W39),0,1)</f>
        <v/>
      </c>
      <c r="AF39">
        <f>IF(SUM(T39,P39)&gt;0,1,0)</f>
        <v/>
      </c>
      <c r="AG39">
        <f>IF(AF39,E39,"")</f>
        <v/>
      </c>
      <c r="AH39">
        <f>IF(W39,E39,"")</f>
        <v/>
      </c>
      <c r="AI39">
        <f>IF(Y39,E39,"")</f>
        <v/>
      </c>
      <c r="AJ39">
        <f>IF(AE39,E39,"")</f>
        <v/>
      </c>
    </row>
    <row r="40">
      <c r="A40">
        <f>1+A39</f>
        <v/>
      </c>
      <c r="B40">
        <f t="array" ref="B40">_xlfn.IFS(ISBLANK(D40),"",ISBLANK(C40),"no venue",ISBLANK(E40),"no bib",ISNUMBER(SEARCH("xiv", C40)),"arxiv",SUM(I40:AA40)&lt;3,"no categories",TRUE,"")</f>
        <v/>
      </c>
      <c r="C40" s="1" t="inlineStr">
        <is>
          <t xml:space="preserve">CoNLL </t>
        </is>
      </c>
      <c r="D40" t="inlineStr">
        <is>
          <t xml:space="preserve"> MuLER: Multi-Level Evaluation with Reference</t>
        </is>
      </c>
      <c r="E40" t="inlineStr">
        <is>
          <t>DBLP:conf/conll/KaridiCPA23</t>
        </is>
      </c>
      <c r="F40" t="inlineStr">
        <is>
          <t>Tailin Karidi, Leshem Choshen, Gal Patel, Omri Abend</t>
        </is>
      </c>
      <c r="G40" t="n">
        <v>2023</v>
      </c>
      <c r="H40" t="n">
        <v>1</v>
      </c>
      <c r="P40" t="n">
        <v>1</v>
      </c>
      <c r="Q40" t="n">
        <v>1</v>
      </c>
      <c r="S40" s="4" t="n"/>
      <c r="T40" t="n">
        <v>1</v>
      </c>
      <c r="V40" t="n">
        <v>1</v>
      </c>
      <c r="AA40" t="n">
        <v>1</v>
      </c>
      <c r="AD40" t="n">
        <v>1</v>
      </c>
      <c r="AE40">
        <f>IF(SUM(Y40,T40,P40,W40),0,1)</f>
        <v/>
      </c>
      <c r="AF40">
        <f>IF(SUM(T40,P40)&gt;0,1,0)</f>
        <v/>
      </c>
      <c r="AG40">
        <f>IF(AF40,E40,"")</f>
        <v/>
      </c>
      <c r="AH40">
        <f>IF(W40,E40,"")</f>
        <v/>
      </c>
      <c r="AI40">
        <f>IF(Y40,E40,"")</f>
        <v/>
      </c>
      <c r="AJ40">
        <f>IF(AE40,E40,"")</f>
        <v/>
      </c>
      <c r="AK40">
        <f>IF(Z40+T40&gt;1,1,0)</f>
        <v/>
      </c>
    </row>
    <row r="41" ht="28" customHeight="1">
      <c r="A41">
        <f>1+A40</f>
        <v/>
      </c>
      <c r="B41">
        <f t="array" ref="B41">_xlfn.IFS(ISBLANK(D41),"",ISBLANK(C41),"no venue",ISBLANK(E41),"no bib",ISNUMBER(SEARCH("xiv", C41)),"arxiv",SUM(I41:AA41)&lt;3,"no categories",TRUE,"")</f>
        <v/>
      </c>
      <c r="C41" s="1" t="inlineStr">
        <is>
          <t xml:space="preserve">Neurips2023 </t>
        </is>
      </c>
      <c r="D41" t="inlineStr">
        <is>
          <t xml:space="preserve"> TIES-Merging: Resolving Interference When Merging Models</t>
        </is>
      </c>
      <c r="E41" t="inlineStr">
        <is>
          <t>DBLP:conf/nips/YadavTCRB23</t>
        </is>
      </c>
      <c r="F41" t="inlineStr">
        <is>
          <t>Prateek Yadav, Derek Tam, Leshem Choshen, Colin Raffel, Mohit Bansal</t>
        </is>
      </c>
      <c r="G41" t="n">
        <v>2023</v>
      </c>
      <c r="H41" t="n">
        <v>1</v>
      </c>
      <c r="K41" t="n">
        <v>1</v>
      </c>
      <c r="P41" t="n">
        <v>1</v>
      </c>
      <c r="Q41" t="n">
        <v>1</v>
      </c>
      <c r="R41" s="6" t="n"/>
      <c r="S41" s="4" t="n"/>
      <c r="W41" t="n">
        <v>1</v>
      </c>
      <c r="Y41" t="n">
        <v>1</v>
      </c>
      <c r="Z41" t="n">
        <v>1</v>
      </c>
      <c r="AA41" t="n">
        <v>1</v>
      </c>
      <c r="AD41" t="n">
        <v>1</v>
      </c>
      <c r="AE41">
        <f>IF(SUM(Y41,T41,P41,W41),0,1)</f>
        <v/>
      </c>
      <c r="AF41">
        <f>IF(SUM(T41,P41)&gt;0,1,0)</f>
        <v/>
      </c>
      <c r="AG41">
        <f>IF(AF41,E41,"")</f>
        <v/>
      </c>
      <c r="AH41">
        <f>IF(W41,E41,"")</f>
        <v/>
      </c>
      <c r="AI41">
        <f>IF(Y41,E41,"")</f>
        <v/>
      </c>
      <c r="AJ41">
        <f>IF(AE41,E41,"")</f>
        <v/>
      </c>
    </row>
    <row r="42">
      <c r="A42">
        <f>1+A41</f>
        <v/>
      </c>
      <c r="B42">
        <f t="array" ref="B42">_xlfn.IFS(ISBLANK(D42),"",ISBLANK(C42),"no venue",ISBLANK(E42),"no bib",ISNUMBER(SEARCH("xiv", C42)),"arxiv",SUM(I42:AA42)&lt;3,"no categories",TRUE,"")</f>
        <v/>
      </c>
      <c r="C42" s="2" t="inlineStr">
        <is>
          <t xml:space="preserve">EMNLP2023 </t>
        </is>
      </c>
      <c r="D42" t="inlineStr">
        <is>
          <t xml:space="preserve"> Human Learning by Model Feedback: The Dynamics of Iterative Prompting with Midjourney</t>
        </is>
      </c>
      <c r="E42" t="inlineStr">
        <is>
          <t>DBLP:conf/emnlp/Don-YehiyaCA23</t>
        </is>
      </c>
      <c r="F42" t="inlineStr">
        <is>
          <t xml:space="preserve"> Shachar Don-Yechia, Leshem Choshen, Omri Abend </t>
        </is>
      </c>
      <c r="G42" t="n">
        <v>2023</v>
      </c>
      <c r="H42" t="n">
        <v>1</v>
      </c>
      <c r="M42" t="n">
        <v>1</v>
      </c>
      <c r="O42" t="n">
        <v>1</v>
      </c>
      <c r="R42" t="n">
        <v>1</v>
      </c>
      <c r="S42" s="4" t="n"/>
      <c r="V42" t="n">
        <v>1</v>
      </c>
      <c r="W42" t="n">
        <v>1</v>
      </c>
      <c r="AA42" t="n">
        <v>1</v>
      </c>
      <c r="AD42" t="n">
        <v>1</v>
      </c>
      <c r="AE42">
        <f>IF(SUM(Y42,T42,P42,W42),0,1)</f>
        <v/>
      </c>
      <c r="AF42">
        <f>IF(SUM(T42,P42)&gt;0,1,0)</f>
        <v/>
      </c>
      <c r="AG42">
        <f>IF(AF42,E42,"")</f>
        <v/>
      </c>
      <c r="AH42">
        <f>IF(W42,E42,"")</f>
        <v/>
      </c>
      <c r="AI42">
        <f>IF(Y42,E42,"")</f>
        <v/>
      </c>
      <c r="AJ42">
        <f>IF(AE42,E42,"")</f>
        <v/>
      </c>
    </row>
    <row r="43">
      <c r="A43">
        <f>1+A42</f>
        <v/>
      </c>
      <c r="B43">
        <f t="array" ref="B43">_xlfn.IFS(ISBLANK(D43),"",ISBLANK(C43),"no venue",ISBLANK(E43),"no bib",ISNUMBER(SEARCH("xiv", C43)),"arxiv",SUM(I43:AA43)&lt;3,"no categories",TRUE,"")</f>
        <v/>
      </c>
      <c r="C43" s="2" t="inlineStr">
        <is>
          <t xml:space="preserve">CONDA@ACL </t>
        </is>
      </c>
      <c r="D43" t="inlineStr">
        <is>
          <t xml:space="preserve"> Data Contamination Report from the 2024 CONDA Shared Task</t>
        </is>
      </c>
      <c r="E43" t="inlineStr">
        <is>
          <t>DBLP:journals/corr/abs-2407-21530</t>
        </is>
      </c>
      <c r="F43" t="inlineStr">
        <is>
          <t xml:space="preserve"> Numerous.</t>
        </is>
      </c>
      <c r="G43" t="n">
        <v>2024</v>
      </c>
      <c r="H43" t="n">
        <v>1</v>
      </c>
      <c r="O43" t="n">
        <v>1</v>
      </c>
      <c r="P43" t="n">
        <v>1</v>
      </c>
      <c r="S43" s="4" t="n"/>
      <c r="T43" t="n">
        <v>1</v>
      </c>
      <c r="U43" t="n">
        <v>1</v>
      </c>
      <c r="V43" t="n">
        <v>1</v>
      </c>
      <c r="W43" t="n">
        <v>1</v>
      </c>
      <c r="X43" t="n">
        <v>1</v>
      </c>
      <c r="AA43" t="n">
        <v>1</v>
      </c>
      <c r="AB43" t="n">
        <v>1</v>
      </c>
      <c r="AD43" t="n">
        <v>1</v>
      </c>
      <c r="AE43">
        <f>IF(SUM(Y43,T43,P43,W43),0,1)</f>
        <v/>
      </c>
      <c r="AF43">
        <f>IF(SUM(T43,P43)&gt;0,1,0)</f>
        <v/>
      </c>
      <c r="AG43">
        <f>IF(AF43,E43,"")</f>
        <v/>
      </c>
      <c r="AH43">
        <f>IF(W43,E43,"")</f>
        <v/>
      </c>
      <c r="AI43">
        <f>IF(Y43,E43,"")</f>
        <v/>
      </c>
      <c r="AJ43">
        <f>IF(AE43,E43,"")</f>
        <v/>
      </c>
      <c r="AK43">
        <f>IF(Z43+T43&gt;1,1,0)</f>
        <v/>
      </c>
    </row>
    <row r="44" ht="18" customHeight="1">
      <c r="A44">
        <f>1+A43</f>
        <v/>
      </c>
      <c r="B44">
        <f t="array" ref="B44">_xlfn.IFS(ISBLANK(D44),"",ISBLANK(C44),"no venue",ISBLANK(E44),"no bib",ISNUMBER(SEARCH("xiv", C44)),"arxiv",SUM(I44:AA44)&lt;3,"no categories",TRUE,"")</f>
        <v/>
      </c>
      <c r="C44" s="1" t="inlineStr">
        <is>
          <t xml:space="preserve">LREC-Coling 2024 </t>
        </is>
      </c>
      <c r="D44" t="inlineStr">
        <is>
          <t>Jump to Conclusions: Short-Cutting Transformers With Linear Transformations</t>
        </is>
      </c>
      <c r="E44" t="inlineStr">
        <is>
          <t>DBLP:conf/coling/DinKCG24</t>
        </is>
      </c>
      <c r="F44" t="inlineStr">
        <is>
          <t>Alexander Yom Din, Taelin Karidi, Leshem Choshen, Mor Geva</t>
        </is>
      </c>
      <c r="G44" t="n">
        <v>2024</v>
      </c>
      <c r="H44" t="n">
        <v>1</v>
      </c>
      <c r="P44" t="n">
        <v>1</v>
      </c>
      <c r="Q44" t="n">
        <v>1</v>
      </c>
      <c r="S44" s="4" t="n"/>
      <c r="Z44" t="n">
        <v>1</v>
      </c>
      <c r="AA44" t="n">
        <v>1</v>
      </c>
      <c r="AD44" t="n">
        <v>1</v>
      </c>
      <c r="AE44">
        <f>IF(SUM(Y44,T44,P44,W44),0,1)</f>
        <v/>
      </c>
      <c r="AF44">
        <f>IF(SUM(T44,P44)&gt;0,1,0)</f>
        <v/>
      </c>
      <c r="AG44">
        <f>IF(AF44,E44,"")</f>
        <v/>
      </c>
      <c r="AH44">
        <f>IF(W44,E44,"")</f>
        <v/>
      </c>
      <c r="AI44">
        <f>IF(Y44,E44,"")</f>
        <v/>
      </c>
      <c r="AJ44">
        <f>IF(AE44,E44,"")</f>
        <v/>
      </c>
      <c r="AK44">
        <f>IF(Z44+T44&gt;1,1,0)</f>
        <v/>
      </c>
    </row>
    <row r="45">
      <c r="A45">
        <f>1+A44</f>
        <v/>
      </c>
      <c r="B45">
        <f t="array" ref="B45">_xlfn.IFS(ISBLANK(D45),"",ISBLANK(C45),"no venue",ISBLANK(E45),"no bib",ISNUMBER(SEARCH("xiv", C45)),"arxiv",SUM(I45:AA45)&lt;3,"no categories",TRUE,"")</f>
        <v/>
      </c>
      <c r="C45" s="1" t="inlineStr">
        <is>
          <t xml:space="preserve">LREC-Coling 2024 </t>
        </is>
      </c>
      <c r="D45" t="inlineStr">
        <is>
          <t>Navigating the Modern Evaluation Landscape: Considerations in Benchmarks and Frameworks for Large Language Models (LLMs)</t>
        </is>
      </c>
      <c r="E45" t="inlineStr">
        <is>
          <t>choshen2024navigating</t>
        </is>
      </c>
      <c r="F45" t="inlineStr">
        <is>
          <t>Choshen, Leshem and Gera, Ariel and Perlitz, Yotam and Shmueli-Scheuer, Michal and Stanovsky, Gabriel</t>
        </is>
      </c>
      <c r="G45" t="n">
        <v>2024</v>
      </c>
      <c r="H45" t="n">
        <v>1</v>
      </c>
      <c r="S45" s="4" t="n"/>
      <c r="T45" t="n">
        <v>1</v>
      </c>
      <c r="U45" t="n">
        <v>1</v>
      </c>
      <c r="W45" t="n">
        <v>1</v>
      </c>
      <c r="X45" t="n">
        <v>1</v>
      </c>
      <c r="Y45" t="n">
        <v>1</v>
      </c>
      <c r="Z45" t="n">
        <v>1</v>
      </c>
      <c r="AD45" t="n">
        <v>1</v>
      </c>
      <c r="AE45">
        <f>IF(SUM(Y45,T45,P45,W45),0,1)</f>
        <v/>
      </c>
      <c r="AF45">
        <f>IF(SUM(T45,P45)&gt;0,1,0)</f>
        <v/>
      </c>
      <c r="AG45">
        <f>IF(AF45,E45,"")</f>
        <v/>
      </c>
      <c r="AH45">
        <f>IF(W45,E45,"")</f>
        <v/>
      </c>
      <c r="AI45">
        <f>IF(Y45,E45,"")</f>
        <v/>
      </c>
      <c r="AJ45">
        <f>IF(AE45,E45,"")</f>
        <v/>
      </c>
      <c r="AK45">
        <f>IF(Z45+T45&gt;1,1,0)</f>
        <v/>
      </c>
    </row>
    <row r="46">
      <c r="A46">
        <f>1+A45</f>
        <v/>
      </c>
      <c r="B46">
        <f t="array" ref="B46">_xlfn.IFS(ISBLANK(D46),"",ISBLANK(C46),"no venue",ISBLANK(E46),"no bib",ISNUMBER(SEARCH("xiv", C46)),"arxiv",SUM(I46:AA46)&lt;3,"no categories",TRUE,"")</f>
        <v/>
      </c>
      <c r="C46" s="2" t="inlineStr">
        <is>
          <t xml:space="preserve">NAACL2024^ </t>
        </is>
      </c>
      <c r="D46" t="inlineStr">
        <is>
          <t xml:space="preserve"> Efficient Benchmarking (of Language Models)‏</t>
        </is>
      </c>
      <c r="E46" s="9" t="inlineStr">
        <is>
          <t>DBLP:conf/naacl/PerlitzBGAESSSC24</t>
        </is>
      </c>
      <c r="F46" t="inlineStr">
        <is>
          <t xml:space="preserve"> Yotam Perlitz, Elron Bandel, Ariel Gera, Ofir Arviv, Liat Ein-Dor, Eyal Shnarch, Noam Slonim, Michal Shmueli-Scheuer, Leshem Choshen</t>
        </is>
      </c>
      <c r="G46" t="n">
        <v>2024</v>
      </c>
      <c r="H46" t="n">
        <v>1</v>
      </c>
      <c r="S46" s="4" t="n"/>
      <c r="T46" t="n">
        <v>1</v>
      </c>
      <c r="X46" t="n">
        <v>1</v>
      </c>
      <c r="Y46" t="n">
        <v>1</v>
      </c>
      <c r="Z46" t="n">
        <v>1</v>
      </c>
      <c r="AA46" t="n">
        <v>1</v>
      </c>
      <c r="AD46" t="n">
        <v>1</v>
      </c>
      <c r="AE46">
        <f>IF(SUM(Y46,T46,P46,W46),0,1)</f>
        <v/>
      </c>
      <c r="AF46">
        <f>IF(SUM(T46,P46)&gt;0,1,0)</f>
        <v/>
      </c>
      <c r="AG46">
        <f>IF(AF46,E46,"")</f>
        <v/>
      </c>
      <c r="AH46">
        <f>IF(W46,E46,"")</f>
        <v/>
      </c>
      <c r="AI46">
        <f>IF(Y46,E46,"")</f>
        <v/>
      </c>
      <c r="AJ46">
        <f>IF(AE46,E46,"")</f>
        <v/>
      </c>
      <c r="AK46">
        <f>IF(Z46+T46&gt;1,1,0)</f>
        <v/>
      </c>
    </row>
    <row r="47">
      <c r="A47">
        <f>1+A46</f>
        <v/>
      </c>
      <c r="B47">
        <f t="array" ref="B47">_xlfn.IFS(ISBLANK(D47),"",ISBLANK(C47),"no venue",ISBLANK(E47),"no bib",ISNUMBER(SEARCH("xiv", C47)),"arxiv",SUM(I47:AA47)&lt;3,"no categories",TRUE,"")</f>
        <v/>
      </c>
      <c r="C47" s="1" t="inlineStr">
        <is>
          <t xml:space="preserve">ACL2024 </t>
        </is>
      </c>
      <c r="D47" t="inlineStr">
        <is>
          <t xml:space="preserve"> Deductive Closure Training of Language Models for Coherence, Accuracy, and Updatability</t>
        </is>
      </c>
      <c r="E47" t="inlineStr">
        <is>
          <t>DBLP:conf/acl/AkyurekACWA24</t>
        </is>
      </c>
      <c r="F47" t="inlineStr">
        <is>
          <t xml:space="preserve"> Afra Feyza Akyürek, Ekin Akyürek, Leshem Choshen, Derry Wijaya, Jacob Andreas</t>
        </is>
      </c>
      <c r="G47" t="n">
        <v>2024</v>
      </c>
      <c r="H47" t="n">
        <v>1</v>
      </c>
      <c r="P47" t="n">
        <v>1</v>
      </c>
      <c r="Q47" t="n">
        <v>1</v>
      </c>
      <c r="S47" s="4" t="n">
        <v>1</v>
      </c>
      <c r="AA47" t="n">
        <v>1</v>
      </c>
      <c r="AD47" t="n">
        <v>1</v>
      </c>
      <c r="AE47">
        <f>IF(SUM(Y47,T47,P47,W47),0,1)</f>
        <v/>
      </c>
      <c r="AF47">
        <f>IF(SUM(T47,P47)&gt;0,1,0)</f>
        <v/>
      </c>
      <c r="AG47">
        <f>IF(AF47,E47,"")</f>
        <v/>
      </c>
      <c r="AH47">
        <f>IF(W47,E47,"")</f>
        <v/>
      </c>
      <c r="AI47">
        <f>IF(Y47,E47,"")</f>
        <v/>
      </c>
      <c r="AJ47">
        <f>IF(AE47,E47,"")</f>
        <v/>
      </c>
      <c r="AK47">
        <f>IF(Z47+T47&gt;1,1,0)</f>
        <v/>
      </c>
    </row>
    <row r="48">
      <c r="A48">
        <f>1+A47</f>
        <v/>
      </c>
      <c r="B48">
        <f t="array" ref="B48">_xlfn.IFS(ISBLANK(D48),"",ISBLANK(C48),"no venue",ISBLANK(E48),"no bib",ISNUMBER(SEARCH("xiv", C48)),"arxiv",SUM(I48:AA48)&lt;3,"no categories",TRUE,"")</f>
        <v/>
      </c>
      <c r="C48" s="1" t="inlineStr">
        <is>
          <t xml:space="preserve">CogSci2024 </t>
        </is>
      </c>
      <c r="D48" t="inlineStr">
        <is>
          <t xml:space="preserve"> Insights from the first BabyLM Challenge: Training sample efficient language models on a developmentally plausible corpus</t>
        </is>
      </c>
      <c r="E48" t="inlineStr">
        <is>
          <t>warstadt2024insights</t>
        </is>
      </c>
      <c r="F48" t="inlineStr">
        <is>
          <t xml:space="preserve"> Alex Warstadt, Aaron Mueller, Leshem Choshen, Ethan Gotlieb Wilcox, Chengxu Zhuang, Adina Williams, Ryan Cotterell, Tal Linzen</t>
        </is>
      </c>
      <c r="G48" t="n">
        <v>2024</v>
      </c>
      <c r="H48" t="n">
        <v>1</v>
      </c>
      <c r="N48" t="n">
        <v>1</v>
      </c>
      <c r="O48" t="n">
        <v>1</v>
      </c>
      <c r="P48" t="n">
        <v>1</v>
      </c>
      <c r="R48" t="n">
        <v>1</v>
      </c>
      <c r="S48" s="4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D48" t="n">
        <v>1</v>
      </c>
      <c r="AE48">
        <f>IF(SUM(Y48,T48,P48,W48),0,1)</f>
        <v/>
      </c>
      <c r="AF48">
        <f>IF(SUM(T48,P48)&gt;0,1,0)</f>
        <v/>
      </c>
      <c r="AG48">
        <f>IF(AF48,E48,"")</f>
        <v/>
      </c>
      <c r="AH48">
        <f>IF(W48,E48,"")</f>
        <v/>
      </c>
      <c r="AI48">
        <f>IF(Y48,E48,"")</f>
        <v/>
      </c>
      <c r="AJ48">
        <f>IF(AE48,E48,"")</f>
        <v/>
      </c>
      <c r="AK48">
        <f>IF(Z48+T48&gt;1,1,0)</f>
        <v/>
      </c>
    </row>
    <row r="49">
      <c r="A49">
        <f>1+A48</f>
        <v/>
      </c>
      <c r="B49">
        <f t="array" ref="B49">_xlfn.IFS(ISBLANK(D49),"",ISBLANK(C49),"no venue",ISBLANK(E49),"no bib",ISNUMBER(SEARCH("xiv", C49)),"arxiv",SUM(I49:AA49)&lt;3,"no categories",TRUE,"")</f>
        <v/>
      </c>
      <c r="C49" s="1" t="inlineStr">
        <is>
          <t xml:space="preserve">ICLR2024^ </t>
        </is>
      </c>
      <c r="D49" t="inlineStr">
        <is>
          <t xml:space="preserve"> Genie: Achieving human parity in content grounded datasets generation</t>
        </is>
      </c>
      <c r="E49" t="inlineStr">
        <is>
          <t>DBLP:conf/iclr/YehudaiCMAMSC24</t>
        </is>
      </c>
      <c r="F49" t="inlineStr">
        <is>
          <t xml:space="preserve"> Asaf Yehudai, Boaz Carmeli, Yosi Mass, Ofir Arviv, Nathaniel Mills, Assaf Toledo, Eyal Shnarch, Leshem Choshen</t>
        </is>
      </c>
      <c r="G49" t="n">
        <v>2024</v>
      </c>
      <c r="H49" t="n">
        <v>1</v>
      </c>
      <c r="Q49" t="n">
        <v>1</v>
      </c>
      <c r="R49" t="n">
        <v>1</v>
      </c>
      <c r="S49" s="4" t="n">
        <v>1</v>
      </c>
      <c r="Y49" t="n">
        <v>1</v>
      </c>
      <c r="Z49" t="n">
        <v>1</v>
      </c>
      <c r="AA49" t="n">
        <v>1</v>
      </c>
      <c r="AD49" t="n">
        <v>1</v>
      </c>
      <c r="AE49">
        <f>IF(SUM(Y49,T49,P49,W49),0,1)</f>
        <v/>
      </c>
      <c r="AF49">
        <f>IF(SUM(T49,P49)&gt;0,1,0)</f>
        <v/>
      </c>
      <c r="AG49">
        <f>IF(AF49,E49,"")</f>
        <v/>
      </c>
      <c r="AH49">
        <f>IF(W49,E49,"")</f>
        <v/>
      </c>
      <c r="AI49">
        <f>IF(Y49,E49,"")</f>
        <v/>
      </c>
      <c r="AJ49">
        <f>IF(AE49,E49,"")</f>
        <v/>
      </c>
      <c r="AK49">
        <f>IF(Z49+T49&gt;1,1,0)</f>
        <v/>
      </c>
    </row>
    <row r="50">
      <c r="A50">
        <f>1+A49</f>
        <v/>
      </c>
      <c r="B50">
        <f t="array" ref="B50">_xlfn.IFS(ISBLANK(D50),"",ISBLANK(C50),"no venue",ISBLANK(E50),"no bib",ISNUMBER(SEARCH("xiv", C50)),"arxiv",SUM(I50:AA50)&lt;3,"no categories",TRUE,"")</f>
        <v/>
      </c>
      <c r="C50" s="2" t="inlineStr">
        <is>
          <t xml:space="preserve">ICML2024 </t>
        </is>
      </c>
      <c r="D50" t="inlineStr">
        <is>
          <t xml:space="preserve"> Asymmetry in low rank adapters of foundation models</t>
        </is>
      </c>
      <c r="E50" t="inlineStr">
        <is>
          <t>DBLP:conf/icml/ZhuGNBGCGY024</t>
        </is>
      </c>
      <c r="F50" t="inlineStr">
        <is>
          <t>Jiacheng Zhu, Kristjan Greenewald, Kimia Nadjahi, Haitz Sáez de Ocáriz Borde, Rickard Brüel Gabrielsson, Leshem Choshen, Marzyeh Ghassemi, Mikhail Yurochkin, Justin Solomon</t>
        </is>
      </c>
      <c r="G50" t="n">
        <v>2024</v>
      </c>
      <c r="H50" t="n">
        <v>1</v>
      </c>
      <c r="P50" t="n">
        <v>1</v>
      </c>
      <c r="Q50" t="n">
        <v>1</v>
      </c>
      <c r="S50" s="4" t="n">
        <v>1</v>
      </c>
      <c r="Z50" t="n">
        <v>1</v>
      </c>
      <c r="AA50" t="n">
        <v>1</v>
      </c>
      <c r="AD50" t="n">
        <v>1</v>
      </c>
      <c r="AE50">
        <f>IF(SUM(Y50,T50,P50,W50),0,1)</f>
        <v/>
      </c>
      <c r="AF50">
        <f>IF(SUM(T50,P50)&gt;0,1,0)</f>
        <v/>
      </c>
      <c r="AG50">
        <f>IF(AF50,E50,"")</f>
        <v/>
      </c>
      <c r="AH50">
        <f>IF(W50,E50,"")</f>
        <v/>
      </c>
      <c r="AI50">
        <f>IF(Y50,E50,"")</f>
        <v/>
      </c>
      <c r="AJ50">
        <f>IF(AE50,E50,"")</f>
        <v/>
      </c>
      <c r="AK50">
        <f>IF(Z50+T50&gt;1,1,0)</f>
        <v/>
      </c>
    </row>
    <row r="51">
      <c r="A51">
        <f>1+A50</f>
        <v/>
      </c>
      <c r="B51">
        <f t="array" ref="B51">_xlfn.IFS(ISBLANK(D51),"",ISBLANK(C51),"no venue",ISBLANK(E51),"no bib",ISNUMBER(SEARCH("xiv", C51)),"arxiv",SUM(I51:AA51)&lt;3,"no categories",TRUE,"")</f>
        <v/>
      </c>
      <c r="C51" s="2" t="inlineStr">
        <is>
          <t xml:space="preserve">ICML2024 </t>
        </is>
      </c>
      <c r="D51" t="inlineStr">
        <is>
          <t xml:space="preserve"> tinyBenchmarks: evaluating LLMs with fewer examples</t>
        </is>
      </c>
      <c r="E51" t="inlineStr">
        <is>
          <t>DBLP:conf/icml/PoloWCSXY24</t>
        </is>
      </c>
      <c r="F51" t="inlineStr">
        <is>
          <t xml:space="preserve"> Felipe Maia Polo, Lucas Weber, Leshem Choshen, Yuekai Sun, Gongjun Xu, Mikhail Yurochkin</t>
        </is>
      </c>
      <c r="G51" t="n">
        <v>2024</v>
      </c>
      <c r="H51" t="n">
        <v>1</v>
      </c>
      <c r="O51" t="n">
        <v>1</v>
      </c>
      <c r="Q51" t="n">
        <v>1</v>
      </c>
      <c r="S51" s="4" t="n"/>
      <c r="T51" t="n">
        <v>1</v>
      </c>
      <c r="W51" t="n">
        <v>1</v>
      </c>
      <c r="Y51" t="n">
        <v>1</v>
      </c>
      <c r="Z51" t="n">
        <v>1</v>
      </c>
      <c r="AA51" t="n">
        <v>1</v>
      </c>
      <c r="AD51" t="n">
        <v>1</v>
      </c>
      <c r="AE51">
        <f>IF(SUM(Y51,T51,P51,W51),0,1)</f>
        <v/>
      </c>
      <c r="AF51">
        <f>IF(SUM(T51,P51)&gt;0,1,0)</f>
        <v/>
      </c>
      <c r="AG51">
        <f>IF(AF51,E51,"")</f>
        <v/>
      </c>
      <c r="AH51">
        <f>IF(W51,E51,"")</f>
        <v/>
      </c>
      <c r="AI51">
        <f>IF(Y51,E51,"")</f>
        <v/>
      </c>
      <c r="AJ51">
        <f>IF(AE51,E51,"")</f>
        <v/>
      </c>
      <c r="AK51">
        <f>IF(Z51+T51&gt;1,1,0)</f>
        <v/>
      </c>
    </row>
    <row r="52">
      <c r="A52">
        <f>1+A51</f>
        <v/>
      </c>
      <c r="B52">
        <f t="array" ref="B52">_xlfn.IFS(ISBLANK(D52),"",ISBLANK(C52),"no venue",ISBLANK(E52),"no bib",ISNUMBER(SEARCH("xiv", C52)),"arxiv",SUM(I52:AA52)&lt;3,"no categories",TRUE,"")</f>
        <v/>
      </c>
      <c r="C52" s="2" t="inlineStr">
        <is>
          <t xml:space="preserve">TACL2024 </t>
        </is>
      </c>
      <c r="D52" t="inlineStr">
        <is>
          <t xml:space="preserve"> Holmes: Benchmark the Linguistic Competence of Language Models</t>
        </is>
      </c>
      <c r="E52" s="14" t="inlineStr">
        <is>
          <t>DBLP:journals/corr/abs-2404-18923</t>
        </is>
      </c>
      <c r="F52" t="inlineStr">
        <is>
          <t xml:space="preserve"> Andreas Waldis, Yotam Perlitz, Leshem Choshen, Yufang Hou, Iryna Gurevych</t>
        </is>
      </c>
      <c r="G52" t="n">
        <v>2024</v>
      </c>
      <c r="H52" t="n">
        <v>1</v>
      </c>
      <c r="O52" t="n">
        <v>1</v>
      </c>
      <c r="P52" t="n">
        <v>1</v>
      </c>
      <c r="R52" t="n">
        <v>1</v>
      </c>
      <c r="S52" s="4" t="n"/>
      <c r="T52" t="n">
        <v>1</v>
      </c>
      <c r="V52" t="n">
        <v>1</v>
      </c>
      <c r="W52" t="n">
        <v>1</v>
      </c>
      <c r="X52" t="n">
        <v>1</v>
      </c>
      <c r="Y52" t="n">
        <v>1</v>
      </c>
      <c r="AA52" t="n">
        <v>1</v>
      </c>
      <c r="AD52" t="n">
        <v>1</v>
      </c>
      <c r="AE52">
        <f>IF(SUM(Y52,T52,P52,W52),0,1)</f>
        <v/>
      </c>
      <c r="AF52">
        <f>IF(SUM(T52,P52)&gt;0,1,0)</f>
        <v/>
      </c>
      <c r="AG52">
        <f>IF(AF52,E52,"")</f>
        <v/>
      </c>
      <c r="AH52">
        <f>IF(W52,E52,"")</f>
        <v/>
      </c>
      <c r="AI52">
        <f>IF(Y52,E52,"")</f>
        <v/>
      </c>
      <c r="AJ52">
        <f>IF(AE52,E52,"")</f>
        <v/>
      </c>
      <c r="AK52">
        <f>IF(Z52+T52&gt;1,1,0)</f>
        <v/>
      </c>
    </row>
    <row r="53">
      <c r="A53">
        <f>1+A52</f>
        <v/>
      </c>
      <c r="B53">
        <f t="array" ref="B53">_xlfn.IFS(ISBLANK(D53),"",ISBLANK(C53),"no venue",ISBLANK(E53),"no bib",ISNUMBER(SEARCH("xiv", C53)),"arxiv",SUM(I53:AA53)&lt;3,"no categories",TRUE,"")</f>
        <v/>
      </c>
      <c r="C53" s="2" t="inlineStr">
        <is>
          <t xml:space="preserve">EMNLP 2024 Demo </t>
        </is>
      </c>
      <c r="D53" t="inlineStr">
        <is>
          <t xml:space="preserve"> Unitxt: Flexible, shareable and reusable data preparation and evaluation for generative ai</t>
        </is>
      </c>
      <c r="E53" t="inlineStr">
        <is>
          <t>bandel2024unitxt</t>
        </is>
      </c>
      <c r="F53" t="inlineStr">
        <is>
          <t xml:space="preserve"> Elron Bandel, Yotam Perlitz, Elad Venezian, Roni FriedmanMelamed, Ofir Arviv, Matan Orbach, Shachar Don-Yehyia, Dafna Sheinwald, Ariel Gera, Leshem Choshen, Michal Shmueli-Scheuer, Yoav Katz</t>
        </is>
      </c>
      <c r="G53" t="n">
        <v>2024</v>
      </c>
      <c r="H53" t="n">
        <v>1</v>
      </c>
      <c r="O53" t="n">
        <v>1</v>
      </c>
      <c r="R53" t="n">
        <v>1</v>
      </c>
      <c r="S53" s="4" t="n"/>
      <c r="T53" t="n">
        <v>1</v>
      </c>
      <c r="U53" t="n">
        <v>1</v>
      </c>
      <c r="W53" t="n">
        <v>1</v>
      </c>
      <c r="Y53" t="n">
        <v>1</v>
      </c>
      <c r="AA53" t="n">
        <v>1</v>
      </c>
      <c r="AD53" t="n">
        <v>1</v>
      </c>
      <c r="AE53">
        <f>IF(SUM(Y53,T53,P53,W53),0,1)</f>
        <v/>
      </c>
      <c r="AF53">
        <f>IF(SUM(T53,P53)&gt;0,1,0)</f>
        <v/>
      </c>
      <c r="AG53">
        <f>IF(AF53,E53,"")</f>
        <v/>
      </c>
      <c r="AH53">
        <f>IF(W53,E53,"")</f>
        <v/>
      </c>
      <c r="AI53">
        <f>IF(Y53,E53,"")</f>
        <v/>
      </c>
      <c r="AJ53">
        <f>IF(AE53,E53,"")</f>
        <v/>
      </c>
      <c r="AK53">
        <f>IF(Z53+T53&gt;1,1,0)</f>
        <v/>
      </c>
    </row>
    <row r="54">
      <c r="A54">
        <f>1+A53</f>
        <v/>
      </c>
      <c r="B54">
        <f t="array" ref="B54">_xlfn.IFS(ISBLANK(D54),"",ISBLANK(C54),"no venue",ISBLANK(E54),"no bib",ISNUMBER(SEARCH("xiv", C54)),"arxiv",SUM(I54:AA54)&lt;3,"no categories",TRUE,"")</f>
        <v/>
      </c>
      <c r="C54" s="2" t="inlineStr">
        <is>
          <t xml:space="preserve">ACL 2024 </t>
        </is>
      </c>
      <c r="D54" t="inlineStr">
        <is>
          <t xml:space="preserve"> Label-Efficient Model Selection for Text Generation</t>
        </is>
      </c>
      <c r="E54" t="inlineStr">
        <is>
          <t>DBLP:conf/acl/Ashury-TahanGSC24</t>
        </is>
      </c>
      <c r="F54" t="inlineStr">
        <is>
          <t xml:space="preserve"> Shir Ashury-Tahan, Benjamin Sznajder, Leshem Choshen, Liat Ein</t>
        </is>
      </c>
      <c r="G54" t="n">
        <v>2024</v>
      </c>
      <c r="H54" t="n">
        <v>1</v>
      </c>
      <c r="Q54" t="n">
        <v>1</v>
      </c>
      <c r="S54" s="4" t="n"/>
      <c r="T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D54" t="n">
        <v>1</v>
      </c>
      <c r="AE54">
        <f>IF(SUM(Y54,T54,P54,W54),0,1)</f>
        <v/>
      </c>
      <c r="AF54">
        <f>IF(SUM(T54,P54)&gt;0,1,0)</f>
        <v/>
      </c>
      <c r="AG54">
        <f>IF(AF54,E54,"")</f>
        <v/>
      </c>
      <c r="AH54">
        <f>IF(W54,E54,"")</f>
        <v/>
      </c>
      <c r="AI54">
        <f>IF(Y54,E54,"")</f>
        <v/>
      </c>
      <c r="AJ54">
        <f>IF(AE54,E54,"")</f>
        <v/>
      </c>
      <c r="AK54">
        <f>IF(Z54+T54&gt;1,1,0)</f>
        <v/>
      </c>
    </row>
    <row r="55">
      <c r="A55">
        <f>1+A54</f>
        <v/>
      </c>
      <c r="B55">
        <f t="array" ref="B55">_xlfn.IFS(ISBLANK(D55),"",ISBLANK(C55),"no venue",ISBLANK(E55),"no bib",ISNUMBER(SEARCH("xiv", C55)),"arxiv",SUM(I55:AA55)&lt;3,"no categories",TRUE,"")</f>
        <v/>
      </c>
      <c r="C55" s="2" t="inlineStr">
        <is>
          <t xml:space="preserve">TMLR </t>
        </is>
      </c>
      <c r="D55" t="inlineStr">
        <is>
          <t xml:space="preserve"> A Survey on Model MoErging: Recycling and Routing Among Specialized Experts for Collaborative Learning</t>
        </is>
      </c>
      <c r="E55" t="inlineStr">
        <is>
          <t>yadav2024survey</t>
        </is>
      </c>
      <c r="F55" t="inlineStr">
        <is>
          <t xml:space="preserve"> Prateek Yadav, Colin Raffel, Mohammed Muqeeth, Lucas Caccia, Haokun Liu, Tianlong Chen, Mohit Bansal, Leshem Choshen, Alessandro Sordoni</t>
        </is>
      </c>
      <c r="G55" t="n">
        <v>2024</v>
      </c>
      <c r="H55" t="n">
        <v>1</v>
      </c>
      <c r="K55" t="n">
        <v>1</v>
      </c>
      <c r="S55" s="4" t="n"/>
      <c r="W55" t="n">
        <v>1</v>
      </c>
      <c r="X55" t="n">
        <v>1</v>
      </c>
      <c r="Y55" t="n">
        <v>1</v>
      </c>
      <c r="Z55" t="n">
        <v>1</v>
      </c>
      <c r="AA55" t="n">
        <v>1</v>
      </c>
      <c r="AC55" t="n">
        <v>1</v>
      </c>
      <c r="AD55" t="n">
        <v>1</v>
      </c>
      <c r="AE55">
        <f>IF(SUM(Y55,T55,P55,W55),0,1)</f>
        <v/>
      </c>
      <c r="AF55">
        <f>IF(SUM(T55,P55)&gt;0,1,0)</f>
        <v/>
      </c>
      <c r="AG55">
        <f>IF(AF55,E55,"")</f>
        <v/>
      </c>
      <c r="AH55">
        <f>IF(W55,E55,"")</f>
        <v/>
      </c>
      <c r="AI55">
        <f>IF(Y55,E55,"")</f>
        <v/>
      </c>
      <c r="AJ55">
        <f>IF(AE55,E55,"")</f>
        <v/>
      </c>
    </row>
    <row r="56">
      <c r="A56">
        <f>1+A55</f>
        <v/>
      </c>
      <c r="B56">
        <f t="array" ref="B56">_xlfn.IFS(ISBLANK(D56),"",ISBLANK(C56),"no venue",ISBLANK(E56),"no bib",ISNUMBER(SEARCH("xiv", C56)),"arxiv",SUM(I56:AA56)&lt;3,"no categories",TRUE,"")</f>
        <v/>
      </c>
      <c r="C56" s="2" t="inlineStr">
        <is>
          <t>TACL</t>
        </is>
      </c>
      <c r="D56" s="2" t="inlineStr">
        <is>
          <t>Elements of World Knowledge (EWOK): A cognition-inspired framework for evaluating basic world knowledge in language models</t>
        </is>
      </c>
      <c r="E56" t="inlineStr">
        <is>
          <t>DBLP:journals/corr/abs-2405-09605</t>
        </is>
      </c>
      <c r="F56" t="inlineStr">
        <is>
          <t>inspired framework for evaluating basic world knowledge in language models” 5th from end, numerous authors.</t>
        </is>
      </c>
      <c r="G56" t="n">
        <v>2024</v>
      </c>
      <c r="H56" t="n">
        <v>1</v>
      </c>
      <c r="O56" t="n">
        <v>1</v>
      </c>
      <c r="R56" t="n">
        <v>1</v>
      </c>
      <c r="S56" s="4" t="n"/>
      <c r="T56" t="n">
        <v>1</v>
      </c>
      <c r="V56" t="n">
        <v>1</v>
      </c>
      <c r="Y56" t="n">
        <v>1</v>
      </c>
      <c r="Z56" t="n">
        <v>1</v>
      </c>
      <c r="AA56" t="n">
        <v>1</v>
      </c>
      <c r="AD56" t="n">
        <v>1</v>
      </c>
      <c r="AE56">
        <f>IF(SUM(Y56,T56,P56,W56),0,1)</f>
        <v/>
      </c>
      <c r="AF56">
        <f>IF(SUM(T56,P56)&gt;0,1,0)</f>
        <v/>
      </c>
      <c r="AG56">
        <f>IF(AF56,E56,"")</f>
        <v/>
      </c>
      <c r="AH56">
        <f>IF(W56,E56,"")</f>
        <v/>
      </c>
      <c r="AI56">
        <f>IF(Y56,E56,"")</f>
        <v/>
      </c>
      <c r="AJ56">
        <f>IF(AE56,E56,"")</f>
        <v/>
      </c>
      <c r="AK56">
        <f>IF(Z56+T56&gt;1,1,0)</f>
        <v/>
      </c>
    </row>
    <row r="57">
      <c r="A57">
        <f>1+A56</f>
        <v/>
      </c>
      <c r="B57">
        <f t="array" ref="B57">_xlfn.IFS(ISBLANK(D57),"",ISBLANK(C57),"no venue",ISBLANK(E57),"no bib",ISNUMBER(SEARCH("xiv", C57)),"arxiv",SUM(I57:AA57)&lt;3,"no categories",TRUE,"")</f>
        <v/>
      </c>
      <c r="C57" s="2" t="inlineStr">
        <is>
          <t>Neurips</t>
        </is>
      </c>
      <c r="D57" t="inlineStr">
        <is>
          <t xml:space="preserve"> Efficient multi-prompt evaluation of LLMs</t>
        </is>
      </c>
      <c r="E57" s="12" t="inlineStr">
        <is>
          <t>poloefficient</t>
        </is>
      </c>
      <c r="F57" t="inlineStr">
        <is>
          <t>Felipe Maia Polo, Ronald Xu, Lucas Weber, Mírian Silva, Onkar Bhardwaj, Leshem Choshen, Allysson Flavio Melo de Oliveira, Yuekai Sun, Mikhail Yurochkin</t>
        </is>
      </c>
      <c r="G57" t="n">
        <v>2024</v>
      </c>
      <c r="H57" t="n">
        <v>1</v>
      </c>
      <c r="O57" t="n">
        <v>1</v>
      </c>
      <c r="Q57" t="n">
        <v>1</v>
      </c>
      <c r="S57" s="4" t="n"/>
      <c r="T57" t="n">
        <v>1</v>
      </c>
      <c r="Y57" t="n">
        <v>1</v>
      </c>
      <c r="Z57" t="n">
        <v>1</v>
      </c>
      <c r="AA57" t="n">
        <v>1</v>
      </c>
      <c r="AD57" t="n">
        <v>1</v>
      </c>
      <c r="AE57">
        <f>IF(SUM(Y57,T57,P57,W57),0,1)</f>
        <v/>
      </c>
      <c r="AF57">
        <f>IF(SUM(T57,P57)&gt;0,1,0)</f>
        <v/>
      </c>
      <c r="AG57">
        <f>IF(AF57,E57,"")</f>
        <v/>
      </c>
      <c r="AH57">
        <f>IF(W57,E57,"")</f>
        <v/>
      </c>
      <c r="AI57">
        <f>IF(Y57,E57,"")</f>
        <v/>
      </c>
      <c r="AJ57">
        <f>IF(AE57,E57,"")</f>
        <v/>
      </c>
      <c r="AK57">
        <f>IF(Z57+T57&gt;1,1,0)</f>
        <v/>
      </c>
    </row>
    <row r="58">
      <c r="A58">
        <f>1+A57</f>
        <v/>
      </c>
      <c r="B58">
        <f t="array" ref="B58">_xlfn.IFS(ISBLANK(D58),"",ISBLANK(C58),"no venue",ISBLANK(E58),"no bib",ISNUMBER(SEARCH("xiv", C58)),"arxiv",SUM(I58:AA58)&lt;3,"no categories",TRUE,"")</f>
        <v/>
      </c>
      <c r="C58" s="2" t="inlineStr">
        <is>
          <t>EMNLP</t>
        </is>
      </c>
      <c r="D58" t="inlineStr">
        <is>
          <t xml:space="preserve"> NumeroLogic: Number Encoding for Enhanced LLMs' Numerical Reasoning</t>
        </is>
      </c>
      <c r="E58" s="12" t="inlineStr">
        <is>
          <t>schwartz2024numerologic</t>
        </is>
      </c>
      <c r="F58" t="inlineStr">
        <is>
          <t xml:space="preserve"> Eli Schwartz, Leshem Choshen, Joseph Shtok, Sivan Doveh, Leonid Karlinsky, Assaf Arbelle</t>
        </is>
      </c>
      <c r="G58" t="n">
        <v>2024</v>
      </c>
      <c r="H58" t="n">
        <v>1</v>
      </c>
      <c r="Q58" t="n">
        <v>1</v>
      </c>
      <c r="S58" s="4" t="n">
        <v>1</v>
      </c>
      <c r="AA58" t="n">
        <v>1</v>
      </c>
      <c r="AD58" t="n">
        <v>1</v>
      </c>
      <c r="AE58">
        <f>IF(SUM(Y58,T58,P58,W58),0,1)</f>
        <v/>
      </c>
      <c r="AF58">
        <f>IF(SUM(T58,P58)&gt;0,1,0)</f>
        <v/>
      </c>
      <c r="AG58">
        <f>IF(AF58,E58,"")</f>
        <v/>
      </c>
      <c r="AH58">
        <f>IF(W58,E58,"")</f>
        <v/>
      </c>
      <c r="AI58">
        <f>IF(Y58,E58,"")</f>
        <v/>
      </c>
      <c r="AJ58">
        <f>IF(AE58,E58,"")</f>
        <v/>
      </c>
      <c r="AK58">
        <f>IF(Z58+T58&gt;1,1,0)</f>
        <v/>
      </c>
    </row>
    <row r="59">
      <c r="A59">
        <f>1+A58</f>
        <v/>
      </c>
      <c r="B59">
        <f t="array" ref="B59">_xlfn.IFS(ISBLANK(D59),"",ISBLANK(C59),"no venue",ISBLANK(E59),"no bib",ISNUMBER(SEARCH("xiv", C59)),"arxiv",SUM(I59:AA59)&lt;3,"no categories",TRUE,"")</f>
        <v/>
      </c>
      <c r="C59" s="2" t="inlineStr">
        <is>
          <t xml:space="preserve">ARR (under review) </t>
        </is>
      </c>
      <c r="D59" t="inlineStr">
        <is>
          <t xml:space="preserve"> Lossless and Near Lossless Compression for Foundation Models</t>
        </is>
      </c>
      <c r="E59" t="inlineStr">
        <is>
          <t>DBLP:journals/corr/abs-2404-15198</t>
        </is>
      </c>
      <c r="F59" t="inlineStr">
        <is>
          <t>Moshik Hershcovitch, Leshem Choshen, Andrew Wood, Ilias Enmouri, Peter Chin, Swaminathan Sundararaman, Danny Harnik</t>
        </is>
      </c>
      <c r="G59" t="n">
        <v>2024</v>
      </c>
      <c r="H59" t="n">
        <v>1</v>
      </c>
      <c r="O59" t="n">
        <v>1</v>
      </c>
      <c r="P59" t="n">
        <v>1</v>
      </c>
      <c r="Q59" t="n">
        <v>1</v>
      </c>
      <c r="S59" s="4" t="n"/>
      <c r="Z59" t="n">
        <v>1</v>
      </c>
      <c r="AA59" t="n">
        <v>1</v>
      </c>
      <c r="AD59" t="n">
        <v>1</v>
      </c>
      <c r="AE59">
        <f>IF(SUM(Y59,T59,P59,W59),0,1)</f>
        <v/>
      </c>
      <c r="AF59">
        <f>IF(SUM(T59,P59)&gt;0,1,0)</f>
        <v/>
      </c>
      <c r="AG59">
        <f>IF(AF59,E59,"")</f>
        <v/>
      </c>
      <c r="AH59">
        <f>IF(W59,E59,"")</f>
        <v/>
      </c>
      <c r="AI59">
        <f>IF(Y59,E59,"")</f>
        <v/>
      </c>
      <c r="AJ59">
        <f>IF(AE59,E59,"")</f>
        <v/>
      </c>
      <c r="AK59">
        <f>IF(Z59+T59&gt;1,1,0)</f>
        <v/>
      </c>
    </row>
    <row r="60">
      <c r="A60">
        <f>1+A59</f>
        <v/>
      </c>
      <c r="B60">
        <f t="array" ref="B60">_xlfn.IFS(ISBLANK(D60),"",ISBLANK(C60),"no venue",ISBLANK(E60),"no bib",ISNUMBER(SEARCH("xiv", C60)),"arxiv",SUM(I60:AA60)&lt;3,"no categories",TRUE,"")</f>
        <v/>
      </c>
      <c r="C60" s="2" t="inlineStr">
        <is>
          <t>NAACL2025</t>
        </is>
      </c>
      <c r="D60" t="inlineStr">
        <is>
          <t xml:space="preserve"> Beneath the Surface of Consistency: Exploring Cross-lingual Knowledge Representation Sharing in LLMs”</t>
        </is>
      </c>
      <c r="E60" t="inlineStr">
        <is>
          <t>ifergan2024beneath</t>
        </is>
      </c>
      <c r="F60" t="inlineStr">
        <is>
          <t xml:space="preserve"> M Ifergan, L Choshen, R Aharoni, I Szpektor, O Abend</t>
        </is>
      </c>
      <c r="G60" t="n">
        <v>2024</v>
      </c>
      <c r="H60" t="n">
        <v>1</v>
      </c>
      <c r="P60" t="n">
        <v>1</v>
      </c>
      <c r="R60" t="n">
        <v>1</v>
      </c>
      <c r="S60" s="4" t="n"/>
      <c r="AA60" t="n">
        <v>1</v>
      </c>
      <c r="AD60" t="n">
        <v>1</v>
      </c>
      <c r="AE60">
        <f>IF(SUM(Y60,T60,P60,W60),0,1)</f>
        <v/>
      </c>
      <c r="AF60">
        <f>IF(SUM(T60,P60)&gt;0,1,0)</f>
        <v/>
      </c>
      <c r="AG60">
        <f>IF(AF60,E60,"")</f>
        <v/>
      </c>
      <c r="AH60">
        <f>IF(W60,E60,"")</f>
        <v/>
      </c>
      <c r="AI60">
        <f>IF(Y60,E60,"")</f>
        <v/>
      </c>
      <c r="AJ60">
        <f>IF(AE60,E60,"")</f>
        <v/>
      </c>
      <c r="AK60">
        <f>IF(Z60+T60&gt;1,1,0)</f>
        <v/>
      </c>
    </row>
    <row r="61">
      <c r="A61">
        <f>1+A60</f>
        <v/>
      </c>
      <c r="B61">
        <f t="array" ref="B61">_xlfn.IFS(ISBLANK(D61),"",ISBLANK(C61),"no venue",ISBLANK(E61),"no bib",ISNUMBER(SEARCH("xiv", C61)),"arxiv",SUM(I61:AA61)&lt;3,"no categories",TRUE,"")</f>
        <v/>
      </c>
      <c r="C61" s="2" t="inlineStr">
        <is>
          <t xml:space="preserve">ARR (under review) </t>
        </is>
      </c>
      <c r="D61" t="inlineStr">
        <is>
          <t xml:space="preserve"> Can You Trust Your Metric? Automatic Concatenation</t>
        </is>
      </c>
      <c r="E61" t="inlineStr">
        <is>
          <t>fandina2024can</t>
        </is>
      </c>
      <c r="F61" t="inlineStr">
        <is>
          <t>Based Tests for Metric Validity” ON Fandina, L Choshen, E Farchi, G Kour, Y Perlitz, O Raz</t>
        </is>
      </c>
      <c r="G61" t="n">
        <v>2024</v>
      </c>
      <c r="H61" t="n">
        <v>1</v>
      </c>
      <c r="S61" s="4" t="n"/>
      <c r="T61" t="n">
        <v>1</v>
      </c>
      <c r="X61" t="n">
        <v>1</v>
      </c>
      <c r="AA61" t="n">
        <v>1</v>
      </c>
      <c r="AD61" t="n">
        <v>1</v>
      </c>
      <c r="AE61">
        <f>IF(SUM(Y61,T61,P61,W61),0,1)</f>
        <v/>
      </c>
      <c r="AF61">
        <f>IF(SUM(T61,P61)&gt;0,1,0)</f>
        <v/>
      </c>
      <c r="AG61">
        <f>IF(AF61,E61,"")</f>
        <v/>
      </c>
      <c r="AH61">
        <f>IF(W61,E61,"")</f>
        <v/>
      </c>
      <c r="AI61">
        <f>IF(Y61,E61,"")</f>
        <v/>
      </c>
      <c r="AJ61">
        <f>IF(AE61,E61,"")</f>
        <v/>
      </c>
      <c r="AK61">
        <f>IF(Z61+T61&gt;1,1,0)</f>
        <v/>
      </c>
    </row>
    <row r="62">
      <c r="A62">
        <f>1+A61</f>
        <v/>
      </c>
      <c r="B62">
        <f t="array" ref="B62">_xlfn.IFS(ISBLANK(D62),"",ISBLANK(C62),"no venue",ISBLANK(E62),"no bib",ISNUMBER(SEARCH("xiv", C62)),"arxiv",SUM(I62:AA62)&lt;3,"no categories",TRUE,"")</f>
        <v/>
      </c>
      <c r="C62" s="2" t="inlineStr">
        <is>
          <t>ACL</t>
        </is>
      </c>
      <c r="D62" t="inlineStr">
        <is>
          <t xml:space="preserve"> The ShareLM Collection and Plugin: Contributing Human-Model Chats for the Benefit of the Community</t>
        </is>
      </c>
      <c r="E62" s="12" t="inlineStr">
        <is>
          <t>don-yehiya-etal-2025-sharelm</t>
        </is>
      </c>
      <c r="F62" t="inlineStr">
        <is>
          <t xml:space="preserve"> Shachar Don-Yehiya, Leshem Choshen, Omri Abend</t>
        </is>
      </c>
      <c r="G62" t="n">
        <v>2024</v>
      </c>
      <c r="H62" t="n">
        <v>1</v>
      </c>
      <c r="M62" t="n">
        <v>1</v>
      </c>
      <c r="O62" t="n">
        <v>1</v>
      </c>
      <c r="R62" t="n">
        <v>1</v>
      </c>
      <c r="S62" s="4" t="n"/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D62" t="n">
        <v>1</v>
      </c>
      <c r="AE62">
        <f>IF(SUM(Y62,T62,P62,W62),0,1)</f>
        <v/>
      </c>
      <c r="AF62">
        <f>IF(SUM(T62,P62)&gt;0,1,0)</f>
        <v/>
      </c>
      <c r="AG62">
        <f>IF(AF62,E62,"")</f>
        <v/>
      </c>
      <c r="AH62">
        <f>IF(W62,E62,"")</f>
        <v/>
      </c>
      <c r="AI62">
        <f>IF(Y62,E62,"")</f>
        <v/>
      </c>
      <c r="AJ62">
        <f>IF(AE62,E62,"")</f>
        <v/>
      </c>
    </row>
    <row r="63">
      <c r="A63">
        <f>1+A62</f>
        <v/>
      </c>
      <c r="B63">
        <f t="array" ref="B63">_xlfn.IFS(ISBLANK(D63),"",ISBLANK(C63),"no venue",ISBLANK(E63),"no bib",ISNUMBER(SEARCH("xiv", C63)),"arxiv",SUM(I63:AA63)&lt;3,"no categories",TRUE,"")</f>
        <v/>
      </c>
      <c r="C63" s="2" t="inlineStr">
        <is>
          <t xml:space="preserve">ARR (under review) </t>
        </is>
      </c>
      <c r="D63" s="2" t="inlineStr">
        <is>
          <t>Naturally occurring feedback is common, extractable and useful</t>
        </is>
      </c>
      <c r="E63" t="inlineStr">
        <is>
          <t>DBLP:journals/corr/abs-2407-10944</t>
        </is>
      </c>
      <c r="F63" t="inlineStr">
        <is>
          <t xml:space="preserve"> Shachar DonYehiya, Leshem Choshen, Omri Abend</t>
        </is>
      </c>
      <c r="G63" t="n">
        <v>2024</v>
      </c>
      <c r="H63" t="n">
        <v>1</v>
      </c>
      <c r="O63" t="n">
        <v>1</v>
      </c>
      <c r="Q63" t="n">
        <v>1</v>
      </c>
      <c r="R63" t="n">
        <v>1</v>
      </c>
      <c r="S63" s="4" t="n"/>
      <c r="V63" t="n">
        <v>1</v>
      </c>
      <c r="W63" t="n">
        <v>1</v>
      </c>
      <c r="Z63" t="n">
        <v>1</v>
      </c>
      <c r="AA63" t="n">
        <v>1</v>
      </c>
      <c r="AD63" t="n">
        <v>1</v>
      </c>
      <c r="AE63">
        <f>IF(SUM(Y63,T63,P63,W63),0,1)</f>
        <v/>
      </c>
      <c r="AF63">
        <f>IF(SUM(T63,P63)&gt;0,1,0)</f>
        <v/>
      </c>
      <c r="AG63">
        <f>IF(AF63,E63,"")</f>
        <v/>
      </c>
      <c r="AH63">
        <f>IF(W63,E63,"")</f>
        <v/>
      </c>
      <c r="AI63">
        <f>IF(Y63,E63,"")</f>
        <v/>
      </c>
      <c r="AJ63">
        <f>IF(AE63,E63,"")</f>
        <v/>
      </c>
      <c r="AK63">
        <f>IF(Z63+T63&gt;1,1,0)</f>
        <v/>
      </c>
    </row>
    <row r="64">
      <c r="A64">
        <f>1+A63</f>
        <v/>
      </c>
      <c r="C64" s="2" t="inlineStr">
        <is>
          <t>ArXiv</t>
        </is>
      </c>
      <c r="D64" t="inlineStr">
        <is>
          <t xml:space="preserve"> Benchmark Agreement Testing Done Right: A Guide for LLM Benchmark Evaluation</t>
        </is>
      </c>
      <c r="E64" t="inlineStr">
        <is>
          <t>DBLP:journals/corr/abs-2407-13696</t>
        </is>
      </c>
      <c r="F64" t="inlineStr">
        <is>
          <t xml:space="preserve"> Yotam Perlitz, Ariel Gera, Ofir Arviv, Asaf Yehudai, Elron Bandel, Eyal Shnarch, Michal ShmueliScheuer, Leshem Choshen</t>
        </is>
      </c>
      <c r="G64" t="n">
        <v>2024</v>
      </c>
      <c r="H64" t="n">
        <v>1</v>
      </c>
      <c r="O64" t="n">
        <v>1</v>
      </c>
      <c r="S64" s="4" t="n"/>
      <c r="T64" t="n">
        <v>1</v>
      </c>
      <c r="W64" t="n">
        <v>1</v>
      </c>
      <c r="X64" t="n">
        <v>1</v>
      </c>
      <c r="AA64" t="n">
        <v>1</v>
      </c>
      <c r="AD64" t="n">
        <v>1</v>
      </c>
      <c r="AE64">
        <f>IF(SUM(Y64,T64,P64,W64),0,1)</f>
        <v/>
      </c>
      <c r="AF64">
        <f>IF(SUM(T64,P64)&gt;0,1,0)</f>
        <v/>
      </c>
      <c r="AG64">
        <f>IF(AF64,E64,"")</f>
        <v/>
      </c>
      <c r="AH64">
        <f>IF(W64,E64,"")</f>
        <v/>
      </c>
      <c r="AI64">
        <f>IF(Y64,E64,"")</f>
        <v/>
      </c>
      <c r="AJ64">
        <f>IF(AE64,E64,"")</f>
        <v/>
      </c>
      <c r="AK64">
        <f>IF(Z64+T64&gt;1,1,0)</f>
        <v/>
      </c>
    </row>
    <row r="65">
      <c r="A65">
        <f>1+A64</f>
        <v/>
      </c>
      <c r="B65">
        <f t="array" ref="B65">_xlfn.IFS(ISBLANK(D65),"",ISBLANK(C65),"no venue",ISBLANK(E65),"no bib",ISNUMBER(SEARCH("xiv", C65)),"arxiv",SUM(I65:AA65)&lt;3,"no categories",TRUE,"")</f>
        <v/>
      </c>
      <c r="C65" s="2" t="inlineStr">
        <is>
          <t>ICML</t>
        </is>
      </c>
      <c r="D65" t="inlineStr">
        <is>
          <t xml:space="preserve"> Compress then Serve: Serving Thousands of LoRA Adapters with Little Overhead</t>
        </is>
      </c>
      <c r="E65" s="9" t="inlineStr">
        <is>
          <t>gabrielsson2025compress</t>
        </is>
      </c>
      <c r="F65" t="inlineStr">
        <is>
          <t xml:space="preserve"> Rickard BrüelGabrielsson, Jiacheng Zhu, Onkar Bhardwaj, Leshem Choshen, Kristjan Greenewald, Mikhail Yurochkin, Justin Solomon</t>
        </is>
      </c>
      <c r="G65" t="n">
        <v>2024</v>
      </c>
      <c r="H65" t="n">
        <v>1</v>
      </c>
      <c r="O65" t="n">
        <v>1</v>
      </c>
      <c r="P65" t="n">
        <v>1</v>
      </c>
      <c r="Q65" t="n">
        <v>1</v>
      </c>
      <c r="R65" t="n">
        <v>1</v>
      </c>
      <c r="S65" s="4" t="n"/>
      <c r="Z65" t="n">
        <v>1</v>
      </c>
      <c r="AA65" t="n">
        <v>1</v>
      </c>
      <c r="AD65" t="n">
        <v>1</v>
      </c>
      <c r="AE65">
        <f>IF(SUM(Y65,T65,P65,W65),0,1)</f>
        <v/>
      </c>
      <c r="AF65">
        <f>IF(SUM(T65,P65)&gt;0,1,0)</f>
        <v/>
      </c>
      <c r="AG65">
        <f>IF(AF65,E65,"")</f>
        <v/>
      </c>
      <c r="AH65">
        <f>IF(W65,E65,"")</f>
        <v/>
      </c>
      <c r="AI65">
        <f>IF(Y65,E65,"")</f>
        <v/>
      </c>
      <c r="AJ65">
        <f>IF(AE65,E65,"")</f>
        <v/>
      </c>
      <c r="AK65">
        <f>IF(Z65+T65&gt;1,1,0)</f>
        <v/>
      </c>
    </row>
    <row r="66">
      <c r="A66">
        <f>1+A65</f>
        <v/>
      </c>
      <c r="B66">
        <f t="array" ref="B66">_xlfn.IFS(ISBLANK(D66),"",ISBLANK(C66),"no venue",ISBLANK(E66),"no bib",ISNUMBER(SEARCH("xiv", C66)),"arxiv",SUM(I66:AA66)&lt;3,"no categories",TRUE,"")</f>
        <v/>
      </c>
      <c r="C66" s="2" t="inlineStr">
        <is>
          <t>JML</t>
        </is>
      </c>
      <c r="D66" t="inlineStr">
        <is>
          <t xml:space="preserve"> Bigger is not always better: The importance of human-scale language modeling for psycholinguistics</t>
        </is>
      </c>
      <c r="E66" s="12" t="inlineStr">
        <is>
          <t>wilcox2024bigger</t>
        </is>
      </c>
      <c r="F66" t="inlineStr">
        <is>
          <t>Ethan Gotlieb Wilcox, Michael Hu, Aaron Mueller, Tal Linzen, Alex Warstadt, Leshem Choshen, Chengxu Zhuang, Ryan Cotterell, Adina Williams</t>
        </is>
      </c>
      <c r="G66" t="n">
        <v>2024</v>
      </c>
      <c r="H66" t="n">
        <v>1</v>
      </c>
      <c r="I66" t="n">
        <v>1</v>
      </c>
      <c r="N66" t="n">
        <v>1</v>
      </c>
      <c r="P66" t="n">
        <v>1</v>
      </c>
      <c r="S66" s="4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D66" t="n">
        <v>1</v>
      </c>
      <c r="AE66">
        <f>IF(SUM(Y66,T66,P66,W66),0,1)</f>
        <v/>
      </c>
      <c r="AF66">
        <f>IF(SUM(T66,P66)&gt;0,1,0)</f>
        <v/>
      </c>
      <c r="AG66">
        <f>IF(AF66,E66,"")</f>
        <v/>
      </c>
      <c r="AH66">
        <f>IF(W66,E66,"")</f>
        <v/>
      </c>
      <c r="AI66">
        <f>IF(Y66,E66,"")</f>
        <v/>
      </c>
      <c r="AJ66">
        <f>IF(AE66,E66,"")</f>
        <v/>
      </c>
      <c r="AK66">
        <f>IF(Z66+T66&gt;1,1,0)</f>
        <v/>
      </c>
    </row>
    <row r="67">
      <c r="A67">
        <f>1+A66</f>
        <v/>
      </c>
      <c r="B67">
        <f t="array" ref="B67">_xlfn.IFS(ISBLANK(D67),"",ISBLANK(C67),"no venue",ISBLANK(E67),"no bib",ISNUMBER(SEARCH("xiv", C67)),"arxiv",SUM(I67:AA67)&lt;3,"no categories",TRUE,"")</f>
        <v/>
      </c>
      <c r="C67" s="2" t="inlineStr">
        <is>
          <t xml:space="preserve">EMNLP (under review) </t>
        </is>
      </c>
      <c r="D67" t="inlineStr">
        <is>
          <t xml:space="preserve"> Fuse to Forget: Bias Reduction and Selective Memorization through Model Fusion</t>
        </is>
      </c>
      <c r="E67" t="inlineStr">
        <is>
          <t>DBLP:journals/corr/abs-2311-07682</t>
        </is>
      </c>
      <c r="F67" t="inlineStr">
        <is>
          <t xml:space="preserve"> Kerem Zaman, Leshem Choshen, Shashank Srivastava</t>
        </is>
      </c>
      <c r="G67" t="n">
        <v>2024</v>
      </c>
      <c r="H67" t="n">
        <v>1</v>
      </c>
      <c r="K67" t="n">
        <v>1</v>
      </c>
      <c r="P67" t="n">
        <v>1</v>
      </c>
      <c r="S67" s="4" t="n"/>
      <c r="U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D67" t="n">
        <v>1</v>
      </c>
      <c r="AE67">
        <f>IF(SUM(Y67,T67,P67,W67),0,1)</f>
        <v/>
      </c>
      <c r="AF67">
        <f>IF(SUM(T67,P67)&gt;0,1,0)</f>
        <v/>
      </c>
      <c r="AG67">
        <f>IF(AF67,E67,"")</f>
        <v/>
      </c>
      <c r="AH67">
        <f>IF(W67,E67,"")</f>
        <v/>
      </c>
      <c r="AI67">
        <f>IF(Y67,E67,"")</f>
        <v/>
      </c>
      <c r="AJ67">
        <f>IF(AE67,E67,"")</f>
        <v/>
      </c>
    </row>
    <row r="68">
      <c r="A68">
        <f>1+A67</f>
        <v/>
      </c>
      <c r="B68">
        <f t="array" ref="B68">_xlfn.IFS(ISBLANK(D68),"",ISBLANK(C68),"no venue",ISBLANK(E68),"no bib",ISNUMBER(SEARCH("xiv", C68)),"arxiv",SUM(I68:AA68)&lt;3,"no categories",TRUE,"")</f>
        <v/>
      </c>
      <c r="C68" s="1" t="inlineStr">
        <is>
          <t xml:space="preserve">Nature Machine Intelligence^ </t>
        </is>
      </c>
      <c r="D68" s="1" t="inlineStr">
        <is>
          <t>The Future of Open Human Feedback</t>
        </is>
      </c>
      <c r="E68" t="inlineStr">
        <is>
          <t>DonYehiya2024TheFO</t>
        </is>
      </c>
      <c r="F68" t="inlineStr">
        <is>
          <t>Many authors, led by me.</t>
        </is>
      </c>
      <c r="G68" t="n">
        <v>2024</v>
      </c>
      <c r="H68" t="n">
        <v>1</v>
      </c>
      <c r="M68" t="n">
        <v>1</v>
      </c>
      <c r="S68" s="4" t="n"/>
      <c r="U68" t="n">
        <v>1</v>
      </c>
      <c r="W68" t="n">
        <v>1</v>
      </c>
      <c r="X68" t="n">
        <v>1</v>
      </c>
      <c r="Y68" t="n">
        <v>1</v>
      </c>
      <c r="AA68" t="n">
        <v>1</v>
      </c>
      <c r="AC68" t="n">
        <v>1</v>
      </c>
      <c r="AD68" t="n">
        <v>1</v>
      </c>
      <c r="AE68">
        <f>IF(SUM(Y68,T68,P68,W68),0,1)</f>
        <v/>
      </c>
      <c r="AF68">
        <f>IF(SUM(T68,P68)&gt;0,1,0)</f>
        <v/>
      </c>
      <c r="AG68">
        <f>IF(AF68,E68,"")</f>
        <v/>
      </c>
      <c r="AH68">
        <f>IF(W68,E68,"")</f>
        <v/>
      </c>
      <c r="AI68">
        <f>IF(Y68,E68,"")</f>
        <v/>
      </c>
      <c r="AJ68">
        <f>IF(AE68,E68,"")</f>
        <v/>
      </c>
    </row>
    <row r="69" ht="17" customHeight="1">
      <c r="A69">
        <f>1+A68</f>
        <v/>
      </c>
      <c r="B69">
        <f t="array" ref="B69">_xlfn.IFS(ISBLANK(D69),"",ISBLANK(C69),"no venue",ISBLANK(E69),"no bib",ISNUMBER(SEARCH("xiv", C69)),"arxiv",SUM(I69:AA69)&lt;3,"no categories",TRUE,"")</f>
        <v/>
      </c>
      <c r="C69" t="inlineStr">
        <is>
          <t>CoLM</t>
        </is>
      </c>
      <c r="D69" s="2" t="inlineStr">
        <is>
          <t>Unforgettable Generalization in Language Models</t>
        </is>
      </c>
      <c r="E69" s="1" t="inlineStr">
        <is>
          <t>zhang2024unforgettable</t>
        </is>
      </c>
      <c r="F69" s="10" t="inlineStr">
        <is>
          <t>Eric Zhang, Leshem Chosen, Jacob Andreas</t>
        </is>
      </c>
      <c r="G69" t="n">
        <v>2024</v>
      </c>
      <c r="H69" t="n">
        <v>1</v>
      </c>
      <c r="P69" t="n">
        <v>1</v>
      </c>
      <c r="S69" s="4" t="n">
        <v>1</v>
      </c>
      <c r="AA69" t="n">
        <v>1</v>
      </c>
      <c r="AD69" t="n">
        <v>1</v>
      </c>
      <c r="AE69">
        <f>IF(SUM(Y69,T69,P69,W69),0,1)</f>
        <v/>
      </c>
      <c r="AF69">
        <f>IF(SUM(T69,P69)&gt;0,1,0)</f>
        <v/>
      </c>
      <c r="AG69">
        <f>IF(AF69,E69,"")</f>
        <v/>
      </c>
      <c r="AH69">
        <f>IF(W69,E69,"")</f>
        <v/>
      </c>
      <c r="AI69">
        <f>IF(Y69,E69,"")</f>
        <v/>
      </c>
      <c r="AJ69">
        <f>IF(AE69,E69,"")</f>
        <v/>
      </c>
      <c r="AK69">
        <f>IF(Z69+T69&gt;1,1,0)</f>
        <v/>
      </c>
    </row>
    <row r="70" ht="17" customHeight="1">
      <c r="A70">
        <f>1+A69</f>
        <v/>
      </c>
      <c r="B70">
        <f t="array" ref="B70">_xlfn.IFS(ISBLANK(D70),"",ISBLANK(C70),"no venue",ISBLANK(E70),"no bib",ISNUMBER(SEARCH("xiv", C70)),"arxiv",SUM(I70:AA70)&lt;3,"no categories",TRUE,"")</f>
        <v/>
      </c>
      <c r="C70" t="inlineStr">
        <is>
          <t>TMLR</t>
        </is>
      </c>
      <c r="D70" s="2" t="inlineStr">
        <is>
          <t>Compeft: Compression for communicating parameter efficient updates via sparsification and quantization</t>
        </is>
      </c>
      <c r="E70" s="9" t="inlineStr">
        <is>
          <t>yadav2025compeft</t>
        </is>
      </c>
      <c r="F70" s="10" t="inlineStr">
        <is>
          <t>Prateek Yadav, Leshem Choshen, Colin Raffel, Mohit Bansal</t>
        </is>
      </c>
      <c r="G70" t="n">
        <v>2024</v>
      </c>
      <c r="H70" t="n">
        <v>1</v>
      </c>
      <c r="K70" t="n">
        <v>1</v>
      </c>
      <c r="N70" t="n">
        <v>1</v>
      </c>
      <c r="P70" t="n">
        <v>1</v>
      </c>
      <c r="Q70" t="n">
        <v>1</v>
      </c>
      <c r="S70" s="4" t="n"/>
      <c r="Z70" t="n">
        <v>1</v>
      </c>
      <c r="AA70" t="n">
        <v>1</v>
      </c>
      <c r="AD70" t="n">
        <v>1</v>
      </c>
      <c r="AE70">
        <f>IF(SUM(Y70,T70,P70,W70),0,1)</f>
        <v/>
      </c>
      <c r="AF70">
        <f>IF(SUM(T70,P70)&gt;0,1,0)</f>
        <v/>
      </c>
      <c r="AG70">
        <f>IF(AF70,E70,"")</f>
        <v/>
      </c>
      <c r="AH70">
        <f>IF(W70,E70,"")</f>
        <v/>
      </c>
      <c r="AI70">
        <f>IF(Y70,E70,"")</f>
        <v/>
      </c>
      <c r="AJ70">
        <f>IF(AE70,E70,"")</f>
        <v/>
      </c>
    </row>
    <row r="71" ht="17" customHeight="1">
      <c r="A71">
        <f>1+A70</f>
        <v/>
      </c>
      <c r="B71">
        <f t="array" ref="B71">_xlfn.IFS(ISBLANK(D71),"",ISBLANK(C71),"no venue",ISBLANK(E71),"no bib",ISNUMBER(SEARCH("xiv", C71)),"arxiv",SUM(I71:AA71)&lt;3,"no categories",TRUE,"")</f>
        <v/>
      </c>
      <c r="C71" s="1" t="inlineStr">
        <is>
          <t>CoNLL</t>
        </is>
      </c>
      <c r="D71" t="inlineStr">
        <is>
          <t>Findings of the Second BabyLM Challenge: Sample-Efficient Pretraining on Developmentally Plausible Corpora</t>
        </is>
      </c>
      <c r="E71" s="12" t="inlineStr">
        <is>
          <t>hu2024findingssecondbabylmchallenge</t>
        </is>
      </c>
      <c r="F71" s="10" t="inlineStr">
        <is>
          <t>Michael Y Hu, Aaron Mueller, Candace Ross, Adina Williams, Tal Linzen, Chengxu Zhuang, Ryan Cotterell, Leshem Choshen, Alex Warstadt, Ethan Gotlieb Wilcox</t>
        </is>
      </c>
      <c r="G71" t="n">
        <v>2024</v>
      </c>
      <c r="H71" t="n">
        <v>1</v>
      </c>
      <c r="I71" t="n">
        <v>1</v>
      </c>
      <c r="O71" t="n">
        <v>1</v>
      </c>
      <c r="P71" t="n">
        <v>1</v>
      </c>
      <c r="R71" t="n">
        <v>1</v>
      </c>
      <c r="S71" s="4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D71" t="n">
        <v>1</v>
      </c>
      <c r="AE71">
        <f>IF(SUM(Y71,T71,P71,W71),0,1)</f>
        <v/>
      </c>
      <c r="AF71">
        <f>IF(SUM(T71,P71)&gt;0,1,0)</f>
        <v/>
      </c>
      <c r="AG71">
        <f>IF(AF71,E71,"")</f>
        <v/>
      </c>
      <c r="AH71">
        <f>IF(W71,E71,"")</f>
        <v/>
      </c>
      <c r="AI71">
        <f>IF(Y71,E71,"")</f>
        <v/>
      </c>
      <c r="AK71">
        <f>IF(Z71+T71&gt;1,1,0)</f>
        <v/>
      </c>
    </row>
    <row r="72" ht="17" customHeight="1">
      <c r="A72">
        <f>1+A71</f>
        <v/>
      </c>
      <c r="B72">
        <f t="array" ref="B72">_xlfn.IFS(ISBLANK(D72),"",ISBLANK(C72),"no venue",ISBLANK(E72),"no bib",ISNUMBER(SEARCH("xiv", C72)),"arxiv",SUM(I72:AA72)&lt;3,"no categories",TRUE,"")</f>
        <v/>
      </c>
      <c r="C72" t="inlineStr">
        <is>
          <t>ICLR</t>
        </is>
      </c>
      <c r="D72" s="13" t="inlineStr">
        <is>
          <t>Model merging with SVD to tie the Knots</t>
        </is>
      </c>
      <c r="E72" t="inlineStr">
        <is>
          <t>knots</t>
        </is>
      </c>
      <c r="F72" s="10" t="inlineStr">
        <is>
          <t>Pratik, Ramesh and George, Stoica and Boglarka, Ecsedi and Leshem, Choshen and Judy, Hoffman</t>
        </is>
      </c>
      <c r="G72" t="n">
        <v>2024</v>
      </c>
      <c r="H72" t="n">
        <v>1</v>
      </c>
      <c r="K72" t="n">
        <v>1</v>
      </c>
      <c r="P72" t="n">
        <v>1</v>
      </c>
      <c r="Q72" t="n">
        <v>1</v>
      </c>
      <c r="S72" s="4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D72" t="n">
        <v>1</v>
      </c>
      <c r="AE72">
        <f>IF(SUM(Y72,T72,P72,W72),0,1)</f>
        <v/>
      </c>
      <c r="AF72">
        <f>IF(SUM(T72,P72)&gt;0,1,0)</f>
        <v/>
      </c>
      <c r="AG72">
        <f>IF(AF72,E72,"")</f>
        <v/>
      </c>
      <c r="AH72">
        <f>IF(W72,E72,"")</f>
        <v/>
      </c>
      <c r="AI72">
        <f>IF(Y72,E72,"")</f>
        <v/>
      </c>
      <c r="AK72">
        <f>IF(Z72+T72&gt;1,1,0)</f>
        <v/>
      </c>
    </row>
    <row r="73">
      <c r="A73">
        <f>1+A72</f>
        <v/>
      </c>
      <c r="B73">
        <f t="array" ref="B73">_xlfn.IFS(ISBLANK(D73),"",ISBLANK(C73),"no venue",ISBLANK(E73),"no bib",ISNUMBER(SEARCH("xiv", C73)),"arxiv",SUM(I73:AA73)&lt;3,"no categories",TRUE,"")</f>
        <v/>
      </c>
      <c r="C73" t="inlineStr">
        <is>
          <t>Neurips</t>
        </is>
      </c>
      <c r="D73" s="5" t="inlineStr">
        <is>
          <t>Sloth: scaling laws for LLM skills to predict multi-benchmark performance across families</t>
        </is>
      </c>
      <c r="E73" t="inlineStr">
        <is>
          <t>polo2024sloth</t>
        </is>
      </c>
      <c r="F73" s="5" t="inlineStr">
        <is>
          <t>Felipe Maia Polo, Seamus Somerstep, Leshem Choshen, Yuekai Sun, Mikhail Yurochkin</t>
        </is>
      </c>
      <c r="G73" t="n">
        <v>2024</v>
      </c>
      <c r="H73" t="n">
        <v>1</v>
      </c>
      <c r="I73" t="n">
        <v>1</v>
      </c>
      <c r="L73" t="n">
        <v>1</v>
      </c>
      <c r="N73" t="n">
        <v>1</v>
      </c>
      <c r="P73" t="n">
        <v>1</v>
      </c>
      <c r="Q73" t="n">
        <v>1</v>
      </c>
      <c r="S73" s="4" t="n">
        <v>1</v>
      </c>
      <c r="T73" t="n">
        <v>1</v>
      </c>
      <c r="X73" t="n">
        <v>1</v>
      </c>
      <c r="Y73" t="n">
        <v>1</v>
      </c>
      <c r="Z73" t="n">
        <v>1</v>
      </c>
      <c r="AA73" t="n">
        <v>1</v>
      </c>
      <c r="AD73" t="n">
        <v>1</v>
      </c>
      <c r="AE73">
        <f>IF(SUM(Y73,T73,P73,W73),0,1)</f>
        <v/>
      </c>
      <c r="AF73">
        <f>IF(SUM(T73,P73)&gt;0,1,0)</f>
        <v/>
      </c>
      <c r="AG73">
        <f>IF(AF73,E73,"")</f>
        <v/>
      </c>
      <c r="AH73">
        <f>IF(W73,E73,"")</f>
        <v/>
      </c>
      <c r="AI73">
        <f>IF(Y73,E73,"")</f>
        <v/>
      </c>
      <c r="AK73">
        <f>IF(Z73+T73&gt;1,1,0)</f>
        <v/>
      </c>
    </row>
    <row r="74">
      <c r="A74">
        <f>1+A73</f>
        <v/>
      </c>
      <c r="B74">
        <f t="array" ref="B74">_xlfn.IFS(ISBLANK(D74),"",ISBLANK(C74),"no venue",ISBLANK(E74),"no bib",ISNUMBER(SEARCH("xiv", C74)),"arxiv",SUM(I74:AA74)&lt;3,"no categories",TRUE,"")</f>
        <v/>
      </c>
      <c r="C74" t="inlineStr">
        <is>
          <t xml:space="preserve">ICLR* </t>
        </is>
      </c>
      <c r="D74" s="5" t="inlineStr">
        <is>
          <t>A Hitchhiker's Guide to Scaling Law Estimation</t>
        </is>
      </c>
      <c r="E74" t="inlineStr">
        <is>
          <t>choshen2024hitchhiker</t>
        </is>
      </c>
      <c r="F74" s="5" t="inlineStr">
        <is>
          <t>Leshem Choshen, Yang Zhang, Jacob Andreas</t>
        </is>
      </c>
      <c r="G74" t="n">
        <v>2024</v>
      </c>
      <c r="H74" t="n">
        <v>1</v>
      </c>
      <c r="I74" t="n">
        <v>1</v>
      </c>
      <c r="L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s="4" t="n">
        <v>1</v>
      </c>
      <c r="T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D74" t="n">
        <v>1</v>
      </c>
      <c r="AE74">
        <f>IF(SUM(Y74,T74,P74,W74),0,1)</f>
        <v/>
      </c>
      <c r="AF74">
        <f>IF(SUM(T74,P74)&gt;0,1,0)</f>
        <v/>
      </c>
      <c r="AG74">
        <f>IF(AF74,E74,"")</f>
        <v/>
      </c>
      <c r="AH74">
        <f>IF(W74,E74,"")</f>
        <v/>
      </c>
      <c r="AI74">
        <f>IF(Y74,E74,"")</f>
        <v/>
      </c>
      <c r="AK74">
        <f>IF(Z74+T74&gt;1,1,0)</f>
        <v/>
      </c>
    </row>
    <row r="75">
      <c r="A75">
        <f>1+A74</f>
        <v/>
      </c>
      <c r="C75" t="inlineStr">
        <is>
          <t>Arxiv</t>
        </is>
      </c>
      <c r="D75" s="2" t="inlineStr">
        <is>
          <t>Do these LLM benchmarks agree? Fixing benchmark evaluation with BenchBench</t>
        </is>
      </c>
      <c r="E75" s="12" t="inlineStr">
        <is>
          <t>perlitz2024llm</t>
        </is>
      </c>
      <c r="F75" s="5" t="inlineStr">
        <is>
          <t>Yotam Perlitz, Ariel Gera, Ofir Arviv, Asaf Yehudai, Elron Bandel, Eyal Shnarch, Michal Shmueli-Scheuer, Leshem Choshen</t>
        </is>
      </c>
      <c r="G75" t="n">
        <v>2024</v>
      </c>
      <c r="H75" t="n">
        <v>1</v>
      </c>
      <c r="K75" t="n">
        <v>1</v>
      </c>
      <c r="O75" t="n">
        <v>1</v>
      </c>
      <c r="Q75" t="n">
        <v>1</v>
      </c>
      <c r="R75" t="n">
        <v>1</v>
      </c>
      <c r="S75" s="4" t="n"/>
      <c r="T75" t="n">
        <v>1</v>
      </c>
      <c r="W75" t="n">
        <v>1</v>
      </c>
      <c r="X75" t="n">
        <v>1</v>
      </c>
      <c r="AA75" t="n">
        <v>1</v>
      </c>
      <c r="AD75" t="n">
        <v>2</v>
      </c>
      <c r="AE75">
        <f>IF(SUM(Y75,T75,P75,W75),0,1)</f>
        <v/>
      </c>
      <c r="AF75">
        <f>IF(SUM(T75,P75)&gt;0,1,0)</f>
        <v/>
      </c>
      <c r="AG75">
        <f>IF(AF75,E75,"")</f>
        <v/>
      </c>
      <c r="AH75">
        <f>IF(W75,E75,"")</f>
        <v/>
      </c>
      <c r="AI75">
        <f>IF(Y75,E75,"")</f>
        <v/>
      </c>
      <c r="AK75">
        <f>IF(Z75+T75&gt;1,1,0)</f>
        <v/>
      </c>
    </row>
    <row r="76">
      <c r="A76">
        <f>1+A75</f>
        <v/>
      </c>
      <c r="B76">
        <f t="array" ref="B76">_xlfn.IFS(ISBLANK(D76),"",ISBLANK(C76),"no venue",ISBLANK(E76),"no bib",ISNUMBER(SEARCH("xiv", C76)),"arxiv",SUM(I76:AA76)&lt;3,"no categories",TRUE,"")</f>
        <v/>
      </c>
      <c r="C76" t="inlineStr">
        <is>
          <t>ICLR</t>
        </is>
      </c>
      <c r="D76" s="5" t="inlineStr">
        <is>
          <t>LiveXiv - A Multi-Modal live benchmark based on Arxiv papers content</t>
        </is>
      </c>
      <c r="E76" s="9" t="inlineStr">
        <is>
          <t>shabtay2025livexiv</t>
        </is>
      </c>
      <c r="F76" s="5" t="inlineStr">
        <is>
          <t>Nimrod Shabtay, Felipe Maia Polo, Sivan Doveh, Wei Lin, Muhammad Jehanzeb Mirza, Leshem Choshen, Mikhail Yurochkin, Yuekai Sun, Assaf Arbelle, Leonid Karlinsky, Raja Giryes</t>
        </is>
      </c>
      <c r="G76" t="n">
        <v>2024</v>
      </c>
      <c r="H76" t="n">
        <v>1</v>
      </c>
      <c r="O76" t="n">
        <v>1</v>
      </c>
      <c r="S76" s="4" t="n"/>
      <c r="T76" t="n">
        <v>1</v>
      </c>
      <c r="AA76" t="n">
        <v>1</v>
      </c>
      <c r="AD76" t="n">
        <v>1</v>
      </c>
      <c r="AE76" t="n">
        <v>1</v>
      </c>
      <c r="AF76">
        <f>IF(SUM(T76,P76)&gt;0,1,0)</f>
        <v/>
      </c>
      <c r="AG76">
        <f>IF(AF76,E76,"")</f>
        <v/>
      </c>
      <c r="AH76">
        <f>IF(W76,E76,"")</f>
        <v/>
      </c>
      <c r="AI76">
        <f>IF(Y76,E76,"")</f>
        <v/>
      </c>
      <c r="AK76">
        <f>IF(Z76+T76&gt;1,1,0)</f>
        <v/>
      </c>
    </row>
    <row r="77">
      <c r="A77">
        <f>1+A76</f>
        <v/>
      </c>
      <c r="B77">
        <f t="array" ref="B77">_xlfn.IFS(ISBLANK(D77),"",ISBLANK(C77),"no venue",ISBLANK(E77),"no bib",ISNUMBER(SEARCH("xiv", C77)),"arxiv",SUM(I77:AA77)&lt;3,"no categories",TRUE,"")</f>
        <v/>
      </c>
      <c r="C77" t="inlineStr">
        <is>
          <t>CoNLL</t>
        </is>
      </c>
      <c r="D77" s="2" t="inlineStr">
        <is>
          <t>Findings of the second BabyLM challenge: Sample-efficient pretraining on developmentally plausible corpora</t>
        </is>
      </c>
      <c r="E77" s="12" t="inlineStr">
        <is>
          <t>hu-etal-2024-findings</t>
        </is>
      </c>
      <c r="G77" t="n">
        <v>2024</v>
      </c>
      <c r="H77" t="n">
        <v>1</v>
      </c>
      <c r="I77" t="n">
        <v>1</v>
      </c>
      <c r="O77" t="n">
        <v>1</v>
      </c>
      <c r="S77" s="4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D77" t="n">
        <v>1</v>
      </c>
      <c r="AE77">
        <f>IF(SUM(Y77,T77,P77,W77),0,1)</f>
        <v/>
      </c>
      <c r="AF77">
        <f>IF(SUM(T77,P77)&gt;0,1,0)</f>
        <v/>
      </c>
      <c r="AG77">
        <f>IF(AF77,E77,"")</f>
        <v/>
      </c>
      <c r="AH77">
        <f>IF(W77,E77,"")</f>
        <v/>
      </c>
      <c r="AI77">
        <f>IF(Y77,E77,"")</f>
        <v/>
      </c>
      <c r="AK77">
        <f>IF(Z77+T77&gt;1,1,0)</f>
        <v/>
      </c>
    </row>
    <row r="78">
      <c r="A78">
        <f>1+A77</f>
        <v/>
      </c>
      <c r="B78">
        <f t="array" ref="B78">_xlfn.IFS(ISBLANK(D78),"",ISBLANK(C78),"no venue",ISBLANK(E78),"no bib",ISNUMBER(SEARCH("xiv", C78)),"arxiv",SUM(I78:AA78)&lt;3,"no categories",TRUE,"")</f>
        <v/>
      </c>
      <c r="C78" t="inlineStr">
        <is>
          <t>Neurips</t>
        </is>
      </c>
      <c r="D78" s="2" t="inlineStr">
        <is>
          <t>Llm merging: Building llms efficiently through merging</t>
        </is>
      </c>
      <c r="E78" s="9" t="inlineStr">
        <is>
          <t>tam2024llm</t>
        </is>
      </c>
      <c r="G78" t="n">
        <v>2024</v>
      </c>
      <c r="H78" t="n">
        <v>1</v>
      </c>
      <c r="K78" t="n">
        <v>1</v>
      </c>
      <c r="O78" t="n">
        <v>1</v>
      </c>
      <c r="S78" s="4" t="n">
        <v>1</v>
      </c>
      <c r="T78" t="n">
        <v>1</v>
      </c>
      <c r="U78" t="n">
        <v>1</v>
      </c>
      <c r="W78" t="n">
        <v>1</v>
      </c>
      <c r="X78" t="n">
        <v>1</v>
      </c>
      <c r="Y78" t="n">
        <v>1</v>
      </c>
      <c r="Z78" t="n">
        <v>1</v>
      </c>
      <c r="AD78" t="n">
        <v>1</v>
      </c>
      <c r="AE78">
        <f>IF(SUM(Y78,T78,P78,W78),0,1)</f>
        <v/>
      </c>
      <c r="AF78">
        <f>IF(SUM(T78,P78)&gt;0,1,0)</f>
        <v/>
      </c>
      <c r="AG78">
        <f>IF(AF78,E78,"")</f>
        <v/>
      </c>
      <c r="AH78">
        <f>IF(W78,E78,"")</f>
        <v/>
      </c>
      <c r="AI78">
        <f>IF(Y78,E78,"")</f>
        <v/>
      </c>
      <c r="AK78">
        <f>IF(Z78+T78&gt;1,1,0)</f>
        <v/>
      </c>
    </row>
    <row r="79">
      <c r="A79">
        <f>1+A78</f>
        <v/>
      </c>
      <c r="B79">
        <f t="array" ref="B79">_xlfn.IFS(ISBLANK(D79),"",ISBLANK(C79),"no venue",ISBLANK(E79),"no bib",ISNUMBER(SEARCH("xiv", C79)),"arxiv",SUM(I79:AA79)&lt;3,"no categories",TRUE,"")</f>
        <v/>
      </c>
      <c r="C79" t="inlineStr">
        <is>
          <t>ACL</t>
        </is>
      </c>
      <c r="D79" s="11" t="inlineStr">
        <is>
          <t>Global mmlu: Understanding and addressing cultural and linguistic biases in multilingual evaluation</t>
        </is>
      </c>
      <c r="E79" s="12" t="inlineStr">
        <is>
          <t>singh2024global</t>
        </is>
      </c>
      <c r="G79" t="n">
        <v>2024</v>
      </c>
      <c r="H79" t="n">
        <v>1</v>
      </c>
      <c r="O79" t="n">
        <v>1</v>
      </c>
      <c r="R79" t="n">
        <v>1</v>
      </c>
      <c r="S79" s="4" t="n"/>
      <c r="T79" t="n">
        <v>1</v>
      </c>
      <c r="W79" t="n">
        <v>1</v>
      </c>
      <c r="Y79" t="n">
        <v>1</v>
      </c>
      <c r="AA79" t="n">
        <v>1</v>
      </c>
      <c r="AD79" t="n">
        <v>1</v>
      </c>
      <c r="AE79">
        <f>IF(SUM(Y79,T79,P79,W79),0,1)</f>
        <v/>
      </c>
      <c r="AF79">
        <f>IF(SUM(T79,P79)&gt;0,1,0)</f>
        <v/>
      </c>
      <c r="AG79">
        <f>IF(AF79,E79,"")</f>
        <v/>
      </c>
      <c r="AH79">
        <f>IF(W79,E79,"")</f>
        <v/>
      </c>
      <c r="AI79">
        <f>IF(Y79,E79,"")</f>
        <v/>
      </c>
      <c r="AK79">
        <f>IF(Z79+T79&gt;1,1,0)</f>
        <v/>
      </c>
    </row>
    <row r="80">
      <c r="A80">
        <f>1+A79</f>
        <v/>
      </c>
      <c r="C80" s="13" t="inlineStr">
        <is>
          <t>SURGeLLM</t>
        </is>
      </c>
      <c r="D80" s="2" t="inlineStr">
        <is>
          <t>The mighty torr: A benchmark for table reasoning and robustness</t>
        </is>
      </c>
      <c r="E80" s="12" t="inlineStr">
        <is>
          <t>ashurytahan2025mightytorrbenchmarktable</t>
        </is>
      </c>
      <c r="G80" t="n">
        <v>2025</v>
      </c>
      <c r="H80" t="n">
        <v>1</v>
      </c>
      <c r="O80" t="n">
        <v>1</v>
      </c>
      <c r="R80" t="n">
        <v>1</v>
      </c>
      <c r="T80" t="n">
        <v>1</v>
      </c>
      <c r="X80" t="n">
        <v>1</v>
      </c>
      <c r="AA80" t="n">
        <v>1</v>
      </c>
      <c r="AB80" t="n">
        <v>1</v>
      </c>
      <c r="AD80" t="n">
        <v>1</v>
      </c>
      <c r="AF80">
        <f>IF(SUM(T80,P80)&gt;0,1,0)</f>
        <v/>
      </c>
      <c r="AG80">
        <f>IF(AF80,E80,"")</f>
        <v/>
      </c>
      <c r="AH80">
        <f>IF(W80,E80,"")</f>
        <v/>
      </c>
      <c r="AI80">
        <f>IF(Y80,E80,"")</f>
        <v/>
      </c>
      <c r="AK80">
        <f>IF(Z80+T80&gt;1,1,0)</f>
        <v/>
      </c>
    </row>
    <row r="81">
      <c r="A81">
        <f>1+A80</f>
        <v/>
      </c>
      <c r="B81">
        <f t="array" ref="B81">_xlfn.IFS(ISBLANK(D81),"",ISBLANK(C81),"no venue",ISBLANK(E81),"no bib",ISNUMBER(SEARCH("xiv", C81)),"arxiv",SUM(I81:AA81)&lt;3,"no categories",TRUE,"")</f>
        <v/>
      </c>
      <c r="C81" t="inlineStr">
        <is>
          <t>ACL</t>
        </is>
      </c>
      <c r="D81" s="2" t="inlineStr">
        <is>
          <t>Dove: A large-scale multi-dimensional predictions dataset towards meaningful llm evaluation</t>
        </is>
      </c>
      <c r="E81" s="12" t="inlineStr">
        <is>
          <t>habba-etal-2025-dove</t>
        </is>
      </c>
      <c r="G81" t="n">
        <v>2025</v>
      </c>
      <c r="H81" t="n">
        <v>1</v>
      </c>
      <c r="K81" t="n">
        <v>1</v>
      </c>
      <c r="O81" t="n">
        <v>1</v>
      </c>
      <c r="Q81" t="n">
        <v>1</v>
      </c>
      <c r="R81" t="n">
        <v>1</v>
      </c>
      <c r="T81" t="n">
        <v>1</v>
      </c>
      <c r="U81" t="n">
        <v>1</v>
      </c>
      <c r="W81" t="n">
        <v>1</v>
      </c>
      <c r="X81" t="n">
        <v>1</v>
      </c>
      <c r="Y81" t="n">
        <v>1</v>
      </c>
      <c r="AA81" t="n">
        <v>1</v>
      </c>
      <c r="AD81" t="n">
        <v>1</v>
      </c>
      <c r="AF81">
        <f>IF(SUM(T81,P81)&gt;0,1,0)</f>
        <v/>
      </c>
      <c r="AG81">
        <f>IF(AF81,E81,"")</f>
        <v/>
      </c>
      <c r="AH81">
        <f>IF(W81,E81,"")</f>
        <v/>
      </c>
      <c r="AI81">
        <f>IF(Y81,E81,"")</f>
        <v/>
      </c>
      <c r="AK81">
        <f>IF(Z81+T81&gt;1,1,0)</f>
        <v/>
      </c>
    </row>
    <row r="82">
      <c r="A82">
        <f>1+A81</f>
        <v/>
      </c>
      <c r="B82">
        <f t="array" ref="B82">_xlfn.IFS(ISBLANK(D82),"",ISBLANK(C82),"no venue",ISBLANK(E82),"no bib",ISNUMBER(SEARCH("xiv", C82)),"arxiv",SUM(I82:AA82)&lt;3,"no categories",TRUE,"")</f>
        <v/>
      </c>
      <c r="C82" t="inlineStr">
        <is>
          <t xml:space="preserve">ArXiv </t>
        </is>
      </c>
      <c r="D82" s="2" t="inlineStr">
        <is>
          <t>Neurips 2023 llm efficiency fine-tuning competition</t>
        </is>
      </c>
      <c r="E82" s="12" t="inlineStr">
        <is>
          <t>saroufim2025neurips</t>
        </is>
      </c>
      <c r="G82" t="n">
        <v>2025</v>
      </c>
      <c r="H82" t="n">
        <v>1</v>
      </c>
      <c r="O82" t="n">
        <v>1</v>
      </c>
      <c r="Q82" t="n">
        <v>1</v>
      </c>
      <c r="S82" t="n">
        <v>1</v>
      </c>
      <c r="U82" t="n">
        <v>1</v>
      </c>
      <c r="X82" t="n">
        <v>1</v>
      </c>
      <c r="Y82" t="n">
        <v>1</v>
      </c>
      <c r="Z82" t="n">
        <v>1</v>
      </c>
      <c r="AD82" t="n">
        <v>1</v>
      </c>
      <c r="AF82">
        <f>IF(SUM(T82,P82)&gt;0,1,0)</f>
        <v/>
      </c>
      <c r="AG82">
        <f>IF(AF82,E82,"")</f>
        <v/>
      </c>
      <c r="AH82">
        <f>IF(W82,E82,"")</f>
        <v/>
      </c>
      <c r="AI82">
        <f>IF(Y82,E82,"")</f>
        <v/>
      </c>
      <c r="AK82">
        <f>IF(Z82+T82&gt;1,1,0)</f>
        <v/>
      </c>
    </row>
    <row r="83">
      <c r="A83">
        <f>1+A82</f>
        <v/>
      </c>
      <c r="B83" t="inlineStr">
        <is>
          <t>Need to update bib when anthology has it (currently manual</t>
        </is>
      </c>
      <c r="C83" t="inlineStr">
        <is>
          <t>EACL</t>
        </is>
      </c>
      <c r="D83" s="2" t="inlineStr">
        <is>
          <t>Pretraining Language Models for Diachronic Linguistic Change Discovery</t>
        </is>
      </c>
      <c r="E83" s="12" t="inlineStr">
        <is>
          <t>fittschen2025pretraining</t>
        </is>
      </c>
      <c r="G83" t="n">
        <v>2026</v>
      </c>
      <c r="H83" t="n">
        <v>1</v>
      </c>
      <c r="I83" t="n">
        <v>1</v>
      </c>
      <c r="N83" t="n">
        <v>1</v>
      </c>
      <c r="Q83" t="n">
        <v>1</v>
      </c>
      <c r="S83" t="n">
        <v>1</v>
      </c>
      <c r="V83" t="n">
        <v>1</v>
      </c>
      <c r="AA83" t="n">
        <v>1</v>
      </c>
      <c r="AD83" t="n">
        <v>1</v>
      </c>
      <c r="AF83">
        <f>IF(SUM(T83,P83)&gt;0,1,0)</f>
        <v/>
      </c>
      <c r="AG83">
        <f>IF(AF83,E83,"")</f>
        <v/>
      </c>
      <c r="AH83">
        <f>IF(W83,E83,"")</f>
        <v/>
      </c>
      <c r="AI83">
        <f>IF(Y83,E83,"")</f>
        <v/>
      </c>
      <c r="AK83">
        <f>IF(Z83+T83&gt;1,1,0)</f>
        <v/>
      </c>
    </row>
    <row r="84">
      <c r="A84">
        <f>1+A83</f>
        <v/>
      </c>
      <c r="B84">
        <f t="array" ref="B84">_xlfn.IFS(ISBLANK(D84),"",ISBLANK(C84),"no venue",ISBLANK(E84),"no bib",ISNUMBER(SEARCH("xiv", C84)),"arxiv",SUM(I84:AA84)&lt;3,"no categories",TRUE,"")</f>
        <v/>
      </c>
      <c r="C84" t="inlineStr">
        <is>
          <t>Arxiv</t>
        </is>
      </c>
      <c r="D84" s="2" t="inlineStr">
        <is>
          <t>TextArena</t>
        </is>
      </c>
      <c r="E84" s="12" t="inlineStr">
        <is>
          <t>guertler2025textarena</t>
        </is>
      </c>
      <c r="G84" t="n">
        <v>2025</v>
      </c>
      <c r="H84" t="n">
        <v>1</v>
      </c>
      <c r="O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W84" t="n">
        <v>1</v>
      </c>
      <c r="Y84" t="n">
        <v>1</v>
      </c>
      <c r="AA84" t="n">
        <v>1</v>
      </c>
      <c r="AD84" t="n">
        <v>1</v>
      </c>
      <c r="AF84">
        <f>IF(SUM(T84,P84)&gt;0,1,0)</f>
        <v/>
      </c>
      <c r="AG84">
        <f>IF(AF84,E84,"")</f>
        <v/>
      </c>
      <c r="AH84">
        <f>IF(W84,E84,"")</f>
        <v/>
      </c>
      <c r="AI84">
        <f>IF(Y84,E84,"")</f>
        <v/>
      </c>
      <c r="AK84">
        <f>IF(Z84+T84&gt;1,1,0)</f>
        <v/>
      </c>
    </row>
    <row r="85">
      <c r="A85">
        <f>1+A84</f>
        <v/>
      </c>
      <c r="B85">
        <f t="array" ref="B85">_xlfn.IFS(ISBLANK(D85),"",ISBLANK(C85),"no venue",ISBLANK(E85),"no bib",ISNUMBER(SEARCH("xiv", C85)),"arxiv",SUM(I85:AA85)&lt;3,"no categories",TRUE,"")</f>
        <v/>
      </c>
      <c r="C85" t="inlineStr">
        <is>
          <t>Arxiv</t>
        </is>
      </c>
      <c r="D85" s="2" t="inlineStr">
        <is>
          <t>Can Gradient Descent Simulate Prompting?</t>
        </is>
      </c>
      <c r="E85" s="12" t="inlineStr">
        <is>
          <t>zhang2025can</t>
        </is>
      </c>
      <c r="G85" t="n">
        <v>2025</v>
      </c>
      <c r="H85" t="n">
        <v>1</v>
      </c>
      <c r="P85" t="n">
        <v>1</v>
      </c>
      <c r="Q85" t="n">
        <v>1</v>
      </c>
      <c r="S85" t="n">
        <v>1</v>
      </c>
      <c r="AA85" t="n">
        <v>1</v>
      </c>
      <c r="AD85" t="n">
        <v>1</v>
      </c>
      <c r="AF85">
        <f>IF(SUM(T85,P85)&gt;0,1,0)</f>
        <v/>
      </c>
      <c r="AG85">
        <f>IF(AF85,E85,"")</f>
        <v/>
      </c>
      <c r="AH85">
        <f>IF(W85,E85,"")</f>
        <v/>
      </c>
      <c r="AI85">
        <f>IF(Y85,E85,"")</f>
        <v/>
      </c>
      <c r="AK85">
        <f>IF(Z85+T85&gt;1,1,0)</f>
        <v/>
      </c>
    </row>
    <row r="86">
      <c r="A86">
        <f>1+A85</f>
        <v/>
      </c>
      <c r="B86">
        <f t="array" ref="B86">_xlfn.IFS(ISBLANK(D86),"",ISBLANK(C86),"no venue",ISBLANK(E86),"no bib",ISNUMBER(SEARCH("xiv", C86)),"arxiv",SUM(I86:AA86)&lt;3,"no categories",TRUE,"")</f>
        <v/>
      </c>
      <c r="C86" t="inlineStr">
        <is>
          <t>Arxiv^</t>
        </is>
      </c>
      <c r="D86" s="2" t="inlineStr">
        <is>
          <t>LLM Hypnosis: Exploiting User Feedback for Unauthorized Knowledge Injection to All Users</t>
        </is>
      </c>
      <c r="E86" s="12" t="inlineStr">
        <is>
          <t>hilel2025llm</t>
        </is>
      </c>
      <c r="G86" t="n">
        <v>2025</v>
      </c>
      <c r="H86" t="n">
        <v>1</v>
      </c>
      <c r="M86" t="n">
        <v>1</v>
      </c>
      <c r="Q86" t="n">
        <v>1</v>
      </c>
      <c r="AA86" t="n">
        <v>1</v>
      </c>
      <c r="AD86" t="n">
        <v>1</v>
      </c>
      <c r="AF86">
        <f>IF(SUM(T86,P86)&gt;0,1,0)</f>
        <v/>
      </c>
      <c r="AG86">
        <f>IF(AF86,E86,"")</f>
        <v/>
      </c>
      <c r="AH86">
        <f>IF(W86,E86,"")</f>
        <v/>
      </c>
      <c r="AI86">
        <f>IF(Y86,E86,"")</f>
        <v/>
      </c>
      <c r="AK86">
        <f>IF(Z86+T86&gt;1,1,0)</f>
        <v/>
      </c>
    </row>
    <row r="87">
      <c r="A87">
        <f>1+A86</f>
        <v/>
      </c>
      <c r="B87">
        <f t="array" ref="B87">_xlfn.IFS(ISBLANK(D87),"",ISBLANK(C87),"no venue",ISBLANK(E87),"no bib",ISNUMBER(SEARCH("xiv", C87)),"arxiv",SUM(I87:AA87)&lt;3,"no categories",TRUE,"")</f>
        <v/>
      </c>
      <c r="C87" t="inlineStr">
        <is>
          <t>CLOUD (IEEE)</t>
        </is>
      </c>
      <c r="D87" s="2" t="inlineStr">
        <is>
          <t>Zipnn: Lossless compression for ai models</t>
        </is>
      </c>
      <c r="E87" s="12" t="inlineStr">
        <is>
          <t>zipnn</t>
        </is>
      </c>
      <c r="G87" t="n">
        <v>2025</v>
      </c>
      <c r="H87" t="n">
        <v>1</v>
      </c>
      <c r="O87" t="n">
        <v>1</v>
      </c>
      <c r="W87" t="n">
        <v>1</v>
      </c>
      <c r="Y87" t="n">
        <v>1</v>
      </c>
      <c r="Z87" t="n">
        <v>1</v>
      </c>
      <c r="AA87" t="n">
        <v>1</v>
      </c>
      <c r="AD87" t="n">
        <v>1</v>
      </c>
      <c r="AF87">
        <f>IF(SUM(T87,P87)&gt;0,1,0)</f>
        <v/>
      </c>
      <c r="AG87">
        <f>IF(AF87,E87,"")</f>
        <v/>
      </c>
      <c r="AH87">
        <f>IF(W87,E87,"")</f>
        <v/>
      </c>
      <c r="AI87">
        <f>IF(Y87,E87,"")</f>
        <v/>
      </c>
      <c r="AK87">
        <f>IF(Z87+T87&gt;1,1,0)</f>
        <v/>
      </c>
    </row>
    <row r="88">
      <c r="A88">
        <f>1+A87</f>
        <v/>
      </c>
      <c r="B88">
        <f t="array" ref="B88">_xlfn.IFS(ISBLANK(D88),"",ISBLANK(C88),"no venue",ISBLANK(E88),"no bib",ISNUMBER(SEARCH("xiv", C88)),"arxiv",SUM(I88:AA88)&lt;3,"no categories",TRUE,"")</f>
        <v/>
      </c>
      <c r="C88" t="inlineStr">
        <is>
          <t>ICLR</t>
        </is>
      </c>
      <c r="D88" s="2" t="inlineStr">
        <is>
          <t>Beyond binary rewards: Training lms to reason about their uncertainty</t>
        </is>
      </c>
      <c r="E88" s="9" t="inlineStr">
        <is>
          <t>damani2026beyond</t>
        </is>
      </c>
      <c r="G88" t="n">
        <v>2025</v>
      </c>
      <c r="H88" t="n">
        <v>1</v>
      </c>
      <c r="Q88" t="n">
        <v>1</v>
      </c>
      <c r="S88" t="n">
        <v>1</v>
      </c>
      <c r="AA88" t="n">
        <v>1</v>
      </c>
      <c r="AD88" t="n">
        <v>1</v>
      </c>
      <c r="AF88">
        <f>IF(SUM(T88,P88)&gt;0,1,0)</f>
        <v/>
      </c>
      <c r="AG88">
        <f>IF(AF88,E88,"")</f>
        <v/>
      </c>
      <c r="AH88">
        <f>IF(W88,E88,"")</f>
        <v/>
      </c>
      <c r="AI88">
        <f>IF(Y88,E88,"")</f>
        <v/>
      </c>
      <c r="AK88">
        <f>IF(Z88+T88&gt;1,1,0)</f>
        <v/>
      </c>
    </row>
    <row r="89">
      <c r="A89">
        <f>1+A88</f>
        <v/>
      </c>
      <c r="B89">
        <f t="array" ref="B89">_xlfn.IFS(ISBLANK(D89),"",ISBLANK(C89),"no venue",ISBLANK(E89),"no bib",ISNUMBER(SEARCH("xiv", C89)),"arxiv",SUM(I89:AA89)&lt;3,"no categories",TRUE,"")</f>
        <v/>
      </c>
      <c r="C89" t="inlineStr">
        <is>
          <t>Arxiv^</t>
        </is>
      </c>
      <c r="D89" s="2" t="inlineStr">
        <is>
          <t>CRISP: Complex Reasoning with Interpretable Step-based Plans</t>
        </is>
      </c>
      <c r="E89" s="12" t="inlineStr">
        <is>
          <t>vetzler2025crisp</t>
        </is>
      </c>
      <c r="G89" t="n">
        <v>2025</v>
      </c>
      <c r="H89" t="n">
        <v>1</v>
      </c>
      <c r="Q89" t="n">
        <v>1</v>
      </c>
      <c r="S89" t="n">
        <v>1</v>
      </c>
      <c r="AA89" t="n">
        <v>1</v>
      </c>
      <c r="AD89" t="n">
        <v>1</v>
      </c>
      <c r="AF89">
        <f>IF(SUM(T89,P89)&gt;0,1,0)</f>
        <v/>
      </c>
      <c r="AG89">
        <f>IF(AF89,E89,"")</f>
        <v/>
      </c>
      <c r="AH89">
        <f>IF(W89,E89,"")</f>
        <v/>
      </c>
      <c r="AI89">
        <f>IF(Y89,E89,"")</f>
        <v/>
      </c>
      <c r="AK89">
        <f>IF(Z89+T89&gt;1,1,0)</f>
        <v/>
      </c>
    </row>
    <row r="90">
      <c r="A90">
        <f>1+A89</f>
        <v/>
      </c>
      <c r="B90">
        <f t="array" ref="B90">_xlfn.IFS(ISBLANK(D90),"",ISBLANK(C90),"no venue",ISBLANK(E90),"no bib",ISNUMBER(SEARCH("xiv", C90)),"arxiv",SUM(I90:AA90)&lt;3,"no categories",TRUE,"")</f>
        <v/>
      </c>
      <c r="C90" t="inlineStr">
        <is>
          <t>Arxiv</t>
        </is>
      </c>
      <c r="D90" s="9" t="inlineStr">
        <is>
          <t>How Safe is Your Safety Metric? Automatic Concatenation Tests for Metric Reliability</t>
        </is>
      </c>
      <c r="E90" s="12" t="inlineStr">
        <is>
          <t>fandina2025safesafetymetricautomatic</t>
        </is>
      </c>
      <c r="G90" t="n">
        <v>2025</v>
      </c>
      <c r="H90" t="n">
        <v>1</v>
      </c>
      <c r="T90" t="n">
        <v>1</v>
      </c>
      <c r="AA90" t="n">
        <v>1</v>
      </c>
      <c r="AD90" t="n">
        <v>1</v>
      </c>
      <c r="AF90">
        <f>IF(SUM(T90,P90)&gt;0,1,0)</f>
        <v/>
      </c>
      <c r="AG90">
        <f>IF(AF90,E90,"")</f>
        <v/>
      </c>
      <c r="AH90">
        <f>IF(W90,E90,"")</f>
        <v/>
      </c>
      <c r="AI90">
        <f>IF(Y90,E90,"")</f>
        <v/>
      </c>
      <c r="AK90">
        <f>IF(Z90+T90&gt;1,1,0)</f>
        <v/>
      </c>
    </row>
    <row r="91">
      <c r="A91">
        <f>1+A90</f>
        <v/>
      </c>
      <c r="B91" t="inlineStr">
        <is>
          <t>Need to update bib when anthology has it (currently manual</t>
        </is>
      </c>
      <c r="C91" t="inlineStr">
        <is>
          <t>EACL</t>
        </is>
      </c>
      <c r="D91" s="2" t="inlineStr">
        <is>
          <t>BabyBabelLM: A Multilingual Benchmark of Developmentally Plausible Training Data</t>
        </is>
      </c>
      <c r="E91" s="12" t="inlineStr">
        <is>
          <t>jumelet2025babybabellm</t>
        </is>
      </c>
      <c r="G91" t="n">
        <v>2026</v>
      </c>
      <c r="H91" t="n">
        <v>1</v>
      </c>
      <c r="I91" t="n">
        <v>1</v>
      </c>
      <c r="N91" t="n">
        <v>1</v>
      </c>
      <c r="O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AA91" t="n">
        <v>1</v>
      </c>
      <c r="AD91" t="n">
        <v>1</v>
      </c>
      <c r="AF91">
        <f>IF(SUM(T91,P91)&gt;0,1,0)</f>
        <v/>
      </c>
      <c r="AG91">
        <f>IF(AF91,E91,"")</f>
        <v/>
      </c>
      <c r="AH91">
        <f>IF(W91,E91,"")</f>
        <v/>
      </c>
      <c r="AI91">
        <f>IF(Y91,E91,"")</f>
        <v/>
      </c>
      <c r="AK91">
        <f>IF(Z91+T91&gt;1,1,0)</f>
        <v/>
      </c>
    </row>
    <row r="92">
      <c r="A92">
        <f>1+A91</f>
        <v/>
      </c>
      <c r="B92">
        <f t="array" ref="B92">_xlfn.IFS(ISBLANK(D92),"",ISBLANK(C92),"no venue",ISBLANK(E92),"no bib",ISNUMBER(SEARCH("xiv", C92)),"arxiv",SUM(I92:AA92)&lt;3,"no categories",TRUE,"")</f>
        <v/>
      </c>
      <c r="C92" t="inlineStr">
        <is>
          <t>ArXiv</t>
        </is>
      </c>
      <c r="D92" s="2" t="inlineStr">
        <is>
          <t>Global piqa: Evaluating physical commonsense reasoning across 100+ languages and cultures</t>
        </is>
      </c>
      <c r="E92" s="12" t="inlineStr">
        <is>
          <t>chang2025globalpiqaevaluatingphysical</t>
        </is>
      </c>
      <c r="G92" t="n">
        <v>2026</v>
      </c>
      <c r="H92" t="n">
        <v>1</v>
      </c>
      <c r="N92" t="n">
        <v>1</v>
      </c>
      <c r="O92" t="n">
        <v>1</v>
      </c>
      <c r="R92" t="n">
        <v>1</v>
      </c>
      <c r="U92" t="n">
        <v>1</v>
      </c>
      <c r="Y92" t="n">
        <v>1</v>
      </c>
      <c r="AA92" t="n">
        <v>1</v>
      </c>
      <c r="AD92" t="n">
        <v>1</v>
      </c>
      <c r="AF92">
        <f>IF(SUM(T92,P92)&gt;0,1,0)</f>
        <v/>
      </c>
      <c r="AG92">
        <f>IF(AF92,E92,"")</f>
        <v/>
      </c>
      <c r="AH92">
        <f>IF(W92,E92,"")</f>
        <v/>
      </c>
      <c r="AI92">
        <f>IF(Y92,E92,"")</f>
        <v/>
      </c>
      <c r="AK92">
        <f>IF(Z92+T92&gt;1,1,0)</f>
        <v/>
      </c>
    </row>
    <row r="93">
      <c r="A93">
        <f>1+A92</f>
        <v/>
      </c>
      <c r="B93">
        <f t="array" ref="B93">_xlfn.IFS(ISBLANK(D93),"",ISBLANK(C93),"no venue",ISBLANK(E93),"no bib",ISNUMBER(SEARCH("xiv", C93)),"arxiv",SUM(I93:AA93)&lt;3,"no categories",TRUE,"")</f>
        <v/>
      </c>
      <c r="C93" s="2" t="inlineStr">
        <is>
          <t>EMNLP</t>
        </is>
      </c>
      <c r="D93" s="2" t="inlineStr">
        <is>
          <t>Findings of the Third BabyLM Challenge: Accelerating Language Modeling Research with Cognitively Plausible Data</t>
        </is>
      </c>
      <c r="E93" s="12" t="inlineStr">
        <is>
          <t>charpentier-etal-2025-findings</t>
        </is>
      </c>
      <c r="G93" t="n">
        <v>2026</v>
      </c>
      <c r="H93" t="n">
        <v>1</v>
      </c>
      <c r="I93" t="n">
        <v>1</v>
      </c>
      <c r="N93" t="n">
        <v>1</v>
      </c>
      <c r="O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Z93" t="n">
        <v>1</v>
      </c>
      <c r="AA93" t="n">
        <v>1</v>
      </c>
      <c r="AB93" t="n">
        <v>1</v>
      </c>
      <c r="AD93" t="n">
        <v>1</v>
      </c>
      <c r="AF93">
        <f>IF(SUM(T93,P93)&gt;0,1,0)</f>
        <v/>
      </c>
      <c r="AG93">
        <f>IF(AF93,E93,"")</f>
        <v/>
      </c>
      <c r="AH93">
        <f>IF(W93,E93,"")</f>
        <v/>
      </c>
      <c r="AI93">
        <f>IF(Y93,E93,"")</f>
        <v/>
      </c>
      <c r="AK93">
        <f>IF(Z93+T93&gt;1,1,0)</f>
        <v/>
      </c>
    </row>
    <row r="94">
      <c r="A94">
        <f>1+A93</f>
        <v/>
      </c>
      <c r="B94">
        <f t="array" ref="B94">_xlfn.IFS(ISBLANK(D94),"",ISBLANK(C94),"no venue",ISBLANK(E94),"no bib",ISNUMBER(SEARCH("xiv", C94)),"arxiv",SUM(I94:AA94)&lt;3,"no categories",TRUE,"")</f>
        <v/>
      </c>
      <c r="C94" t="inlineStr">
        <is>
          <t>ArXiv</t>
        </is>
      </c>
      <c r="D94" s="2" t="inlineStr">
        <is>
          <t>A Latent Variable Framework for Scaling Laws in Large Language Models</t>
        </is>
      </c>
      <c r="G94" t="n">
        <v>2026</v>
      </c>
      <c r="H94" t="n">
        <v>1</v>
      </c>
      <c r="I94" t="n">
        <v>1</v>
      </c>
      <c r="L94" t="n">
        <v>1</v>
      </c>
      <c r="N94" t="n">
        <v>1</v>
      </c>
      <c r="P94" t="n">
        <v>1</v>
      </c>
      <c r="Q94" t="n">
        <v>1</v>
      </c>
      <c r="S94" t="n">
        <v>1</v>
      </c>
      <c r="Y94" t="n">
        <v>1</v>
      </c>
      <c r="Z94" t="n">
        <v>1</v>
      </c>
      <c r="AA94" t="n">
        <v>1</v>
      </c>
      <c r="AD94" t="n">
        <v>1</v>
      </c>
      <c r="AF94">
        <f>IF(SUM(T94,P94)&gt;0,1,0)</f>
        <v/>
      </c>
      <c r="AG94">
        <f>IF(AF94,E94,"")</f>
        <v/>
      </c>
      <c r="AH94">
        <f>IF(W94,E94,"")</f>
        <v/>
      </c>
      <c r="AI94">
        <f>IF(Y94,E94,"")</f>
        <v/>
      </c>
      <c r="AK94">
        <f>IF(Z94+T94&gt;1,1,0)</f>
        <v/>
      </c>
    </row>
    <row r="95">
      <c r="A95">
        <f>1+A94</f>
        <v/>
      </c>
      <c r="B95">
        <f t="array" ref="B95">_xlfn.IFS(ISBLANK(D95),"",ISBLANK(C95),"no venue",ISBLANK(E95),"no bib",ISNUMBER(SEARCH("xiv", C95)),"arxiv",SUM(I95:AA95)&lt;3,"no categories",TRUE,"")</f>
        <v/>
      </c>
      <c r="C95" t="inlineStr">
        <is>
          <t>ArXiv</t>
        </is>
      </c>
      <c r="D95" s="9" t="inlineStr">
        <is>
          <t>CommonLID: Re-evaluating State-of-the-Art Language Identification Performance on Web Data</t>
        </is>
      </c>
      <c r="E95" s="12" t="inlineStr">
        <is>
          <t>suarez2026commonlid</t>
        </is>
      </c>
      <c r="G95" t="n">
        <v>2026</v>
      </c>
      <c r="H95" t="n">
        <v>1</v>
      </c>
      <c r="O95" t="n">
        <v>1</v>
      </c>
      <c r="R95" t="n">
        <v>1</v>
      </c>
      <c r="S95" t="n">
        <v>1</v>
      </c>
      <c r="U95" t="n">
        <v>1</v>
      </c>
      <c r="W95" t="n">
        <v>1</v>
      </c>
      <c r="Y95" t="n">
        <v>1</v>
      </c>
      <c r="AA95" t="n">
        <v>1</v>
      </c>
      <c r="AD95" t="n">
        <v>1</v>
      </c>
      <c r="AF95">
        <f>IF(SUM(T95,P95)&gt;0,1,0)</f>
        <v/>
      </c>
      <c r="AG95">
        <f>IF(AF95,E95,"")</f>
        <v/>
      </c>
      <c r="AH95">
        <f>IF(W95,E95,"")</f>
        <v/>
      </c>
      <c r="AI95">
        <f>IF(Y95,E95,"")</f>
        <v/>
      </c>
      <c r="AK95">
        <f>IF(Z95+T95&gt;1,1,0)</f>
        <v/>
      </c>
    </row>
    <row r="96">
      <c r="A96">
        <f>1+A95</f>
        <v/>
      </c>
      <c r="B96">
        <f t="array" ref="B96">_xlfn.IFS(ISBLANK(D96),"",ISBLANK(C96),"no venue",ISBLANK(E96),"no bib",ISNUMBER(SEARCH("xiv", C96)),"arxiv",SUM(I96:AA96)&lt;3,"no categories",TRUE,"")</f>
        <v/>
      </c>
      <c r="C96" t="inlineStr">
        <is>
          <t>ArXiv</t>
        </is>
      </c>
      <c r="D96" s="2" t="inlineStr">
        <is>
          <t>Will it Merge? On The Causes of Model Mergeability</t>
        </is>
      </c>
      <c r="E96" s="12" t="inlineStr">
        <is>
          <t>rahamim2026will</t>
        </is>
      </c>
      <c r="G96" t="n">
        <v>2026</v>
      </c>
      <c r="H96" t="n">
        <v>1</v>
      </c>
      <c r="K96" t="n">
        <v>1</v>
      </c>
      <c r="P96" t="n">
        <v>1</v>
      </c>
      <c r="Q96" t="n">
        <v>1</v>
      </c>
      <c r="S96" t="n">
        <v>1</v>
      </c>
      <c r="W96" t="n">
        <v>1</v>
      </c>
      <c r="Y96" t="n">
        <v>1</v>
      </c>
      <c r="Z96" t="n">
        <v>1</v>
      </c>
      <c r="AA96" t="n">
        <v>1</v>
      </c>
      <c r="AD96" t="n">
        <v>1</v>
      </c>
      <c r="AF96">
        <f>IF(SUM(T96,P96)&gt;0,1,0)</f>
        <v/>
      </c>
      <c r="AG96">
        <f>IF(AF96,E96,"")</f>
        <v/>
      </c>
      <c r="AH96">
        <f>IF(W96,E96,"")</f>
        <v/>
      </c>
      <c r="AI96">
        <f>IF(Y96,E96,"")</f>
        <v/>
      </c>
      <c r="AK96">
        <f>IF(Z96+T96&gt;1,1,0)</f>
        <v/>
      </c>
    </row>
    <row r="97">
      <c r="A97">
        <f>1+A96</f>
        <v/>
      </c>
      <c r="B97">
        <f t="array" ref="B97">_xlfn.IFS(ISBLANK(D97),"",ISBLANK(C97),"no venue",ISBLANK(E97),"no bib",ISNUMBER(SEARCH("xiv", C97)),"arxiv",SUM(I97:AA97)&lt;3,"no categories",TRUE,"")</f>
        <v/>
      </c>
      <c r="C97" t="inlineStr">
        <is>
          <t>ArXiv</t>
        </is>
      </c>
      <c r="D97" s="2" t="inlineStr">
        <is>
          <t>ErrorMap and ErrorAtlas: Charting the Failure Landscape of Large Language Models</t>
        </is>
      </c>
      <c r="E97" s="12" t="inlineStr">
        <is>
          <t>ashury2026errormap</t>
        </is>
      </c>
      <c r="G97" t="n">
        <v>2026</v>
      </c>
      <c r="H97" t="n">
        <v>1</v>
      </c>
      <c r="O97" t="n">
        <v>1</v>
      </c>
      <c r="Q97" t="n">
        <v>1</v>
      </c>
      <c r="T97" t="n">
        <v>1</v>
      </c>
      <c r="AA97" t="n">
        <v>1</v>
      </c>
      <c r="AD97" t="n">
        <v>1</v>
      </c>
      <c r="AF97">
        <f>IF(SUM(T97,P97)&gt;0,1,0)</f>
        <v/>
      </c>
      <c r="AG97">
        <f>IF(AF97,E97,"")</f>
        <v/>
      </c>
      <c r="AH97">
        <f>IF(W97,E97,"")</f>
        <v/>
      </c>
      <c r="AI97">
        <f>IF(Y97,E97,"")</f>
        <v/>
      </c>
      <c r="AK97">
        <f>IF(Z97+T97&gt;1,1,0)</f>
        <v/>
      </c>
    </row>
    <row r="98">
      <c r="A98">
        <f>1+A97</f>
        <v/>
      </c>
      <c r="B98">
        <f t="array" ref="B98">_xlfn.IFS(ISBLANK(D98),"",ISBLANK(C98),"no venue",ISBLANK(E98),"no bib",ISNUMBER(SEARCH("xiv", C98)),"arxiv",SUM(I98:AA98)&lt;3,"no categories",TRUE,"")</f>
        <v/>
      </c>
      <c r="C98" t="inlineStr">
        <is>
          <t>ArXiv</t>
        </is>
      </c>
      <c r="D98" s="2" t="inlineStr">
        <is>
          <t>Robustness as an Emergent Property of Task Performance</t>
        </is>
      </c>
      <c r="E98" s="12" t="inlineStr">
        <is>
          <t>ashury2026robustness</t>
        </is>
      </c>
      <c r="G98" t="n">
        <v>2026</v>
      </c>
      <c r="H98" t="n">
        <v>1</v>
      </c>
      <c r="O98" t="n">
        <v>1</v>
      </c>
      <c r="P98" t="n">
        <v>1</v>
      </c>
      <c r="T98" t="n">
        <v>1</v>
      </c>
      <c r="X98" t="n">
        <v>1</v>
      </c>
      <c r="AA98" t="n">
        <v>1</v>
      </c>
      <c r="AD98" t="n">
        <v>1</v>
      </c>
      <c r="AF98">
        <f>IF(SUM(T98,P98)&gt;0,1,0)</f>
        <v/>
      </c>
      <c r="AG98">
        <f>IF(AF98,E98,"")</f>
        <v/>
      </c>
      <c r="AH98">
        <f>IF(W98,E98,"")</f>
        <v/>
      </c>
      <c r="AI98">
        <f>IF(Y98,E98,"")</f>
        <v/>
      </c>
      <c r="AK98">
        <f>IF(Z98+T98&gt;1,1,0)</f>
        <v/>
      </c>
    </row>
    <row r="99">
      <c r="A99">
        <f>1+A99</f>
        <v/>
      </c>
      <c r="B99">
        <f t="array" ref="B100">_xlfn.IFS(ISBLANK(#REF!),"",ISBLANK(C100),"no venue",ISBLANK(#REF!),"no bib",ISNUMBER(SEARCH("xiv", C100)),"arxiv",SUM(I100:AA100)&lt;3,"no categories",TRUE,"")</f>
        <v/>
      </c>
      <c r="C99" t="inlineStr">
        <is>
          <t>ArXiv</t>
        </is>
      </c>
      <c r="D99" s="2" t="inlineStr">
        <is>
          <t>General Agent Evaluation</t>
        </is>
      </c>
      <c r="E99" s="12" t="inlineStr">
        <is>
          <t>bandel2026generalagentevaluation</t>
        </is>
      </c>
      <c r="G99" t="n">
        <v>2026</v>
      </c>
      <c r="H99" t="n">
        <v>1</v>
      </c>
      <c r="N99" t="n">
        <v>1</v>
      </c>
      <c r="O99" t="n">
        <v>1</v>
      </c>
      <c r="Q99" t="n">
        <v>1</v>
      </c>
      <c r="R99" t="n">
        <v>1</v>
      </c>
      <c r="T99" t="n">
        <v>1</v>
      </c>
      <c r="W99" t="n">
        <v>1</v>
      </c>
      <c r="X99" t="n">
        <v>1</v>
      </c>
      <c r="Y99" t="n">
        <v>1</v>
      </c>
      <c r="AA99" t="n">
        <v>1</v>
      </c>
      <c r="AD99" t="n">
        <v>1</v>
      </c>
      <c r="AG99" s="8" t="n"/>
      <c r="AH99">
        <f>IF(W100,#REF!,"")</f>
        <v/>
      </c>
      <c r="AK99">
        <f>IF(Z100+T100&gt;1,1,0)</f>
        <v/>
      </c>
    </row>
    <row r="100" ht="17" customHeight="1">
      <c r="A100">
        <f>1+A100</f>
        <v/>
      </c>
      <c r="B100">
        <f t="array" ref="B101">_xlfn.IFS(ISBLANK(D101),"",ISBLANK(C101),"no venue",ISBLANK(E101),"no bib",ISNUMBER(SEARCH("xiv", C101)),"arxiv",SUM(I101:AA101)&lt;3,"no categories",TRUE,"")</f>
        <v/>
      </c>
      <c r="C100" t="inlineStr">
        <is>
          <t>ICML</t>
        </is>
      </c>
      <c r="D100" s="16" t="inlineStr">
        <is>
          <t>Position: Agentic Systems Should be General</t>
        </is>
      </c>
      <c r="E100" s="12" t="inlineStr">
        <is>
          <t>bandel2026agentic</t>
        </is>
      </c>
      <c r="G100" t="n">
        <v>2026</v>
      </c>
      <c r="H100" t="n">
        <v>1</v>
      </c>
      <c r="O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C100" t="n">
        <v>1</v>
      </c>
      <c r="AD100" t="n">
        <v>1</v>
      </c>
      <c r="AG100" s="8" t="n"/>
      <c r="AK100">
        <f>IF(Z101+T101&gt;1,1,0)</f>
        <v/>
      </c>
    </row>
    <row r="101" ht="35" customHeight="1">
      <c r="A101">
        <f>1+A101</f>
        <v/>
      </c>
      <c r="B101">
        <f t="array" ref="B102">_xlfn.IFS(ISBLANK(D102),"",ISBLANK(C102),"no venue",ISBLANK(E102),"no bib",ISNUMBER(SEARCH("xiv", C102)),"arxiv",SUM(I102:AA102)&lt;3,"no categories",TRUE,"")</f>
        <v/>
      </c>
      <c r="C101" t="inlineStr">
        <is>
          <t>ICML</t>
        </is>
      </c>
      <c r="D101" s="2" t="inlineStr">
        <is>
          <t>When AI Benchmarks Plateau: A Systematic Study of Benchmark Saturation</t>
        </is>
      </c>
      <c r="E101" s="12" t="inlineStr">
        <is>
          <t>akhtar2026ai</t>
        </is>
      </c>
      <c r="G101" t="n">
        <v>2026</v>
      </c>
      <c r="H101" t="n">
        <v>1</v>
      </c>
      <c r="AG101" s="8" t="n"/>
    </row>
    <row r="102" ht="17" customHeight="1">
      <c r="A102">
        <f>1+A102</f>
        <v/>
      </c>
      <c r="B102">
        <f t="array" ref="B103">_xlfn.IFS(ISBLANK(D103),"",ISBLANK(C103),"no venue",ISBLANK(E103),"no bib",ISNUMBER(SEARCH("xiv", C103)),"arxiv",SUM(I103:AA103)&lt;3,"no categories",TRUE,"")</f>
        <v/>
      </c>
      <c r="C102" t="inlineStr">
        <is>
          <t>arXiv</t>
        </is>
      </c>
      <c r="D102" s="2" t="inlineStr">
        <is>
          <t>Do LLMs Benefit From Their Own Words?</t>
        </is>
      </c>
      <c r="E102" s="12" t="inlineStr">
        <is>
          <t>huang2026llmsbenefitwords</t>
        </is>
      </c>
      <c r="G102" t="n">
        <v>2026</v>
      </c>
      <c r="H102" t="n">
        <v>1</v>
      </c>
      <c r="AG102" s="8" t="n"/>
    </row>
    <row r="103" ht="17" customHeight="1">
      <c r="A103">
        <f>1+A103</f>
        <v/>
      </c>
      <c r="B103">
        <f t="array" ref="B104">_xlfn.IFS(ISBLANK(D104),"",ISBLANK(C104),"no venue",ISBLANK(E104),"no bib",ISNUMBER(SEARCH("xiv", C104)),"arxiv",SUM(I104:AA104)&lt;3,"no categories",TRUE,"")</f>
        <v/>
      </c>
      <c r="C103" t="inlineStr">
        <is>
          <t>arXiv</t>
        </is>
      </c>
      <c r="D103" s="2" t="inlineStr">
        <is>
          <t>Resolving Interference (RI): Disentangling Models for Improved Model Merging</t>
        </is>
      </c>
      <c r="E103" t="inlineStr">
        <is>
          <t>ramesh2026resolving</t>
        </is>
      </c>
      <c r="G103" t="n">
        <v>2026</v>
      </c>
      <c r="H103" t="n">
        <v>1</v>
      </c>
      <c r="AG103" s="8" t="n"/>
    </row>
    <row r="104" ht="17" customHeight="1">
      <c r="A104">
        <f>1+A104</f>
        <v/>
      </c>
      <c r="B104">
        <f t="array" ref="B105">_xlfn.IFS(ISBLANK(D105),"",ISBLANK(C105),"no venue",ISBLANK(E105),"no bib",ISNUMBER(SEARCH("xiv", C105)),"arxiv",SUM(I105:AA105)&lt;3,"no categories",TRUE,"")</f>
        <v/>
      </c>
      <c r="C104" t="inlineStr">
        <is>
          <t>arXiv</t>
        </is>
      </c>
      <c r="D104" s="2" t="inlineStr">
        <is>
          <t>CUBE: A Standard for Unifying Agent Benchmarks</t>
        </is>
      </c>
      <c r="E104" t="inlineStr">
        <is>
          <t>lacoste2026cube</t>
        </is>
      </c>
      <c r="G104" t="n">
        <v>2026</v>
      </c>
      <c r="H104" t="n">
        <v>1</v>
      </c>
      <c r="AG104" s="8" t="n"/>
    </row>
    <row r="105" ht="17" customHeight="1">
      <c r="A105">
        <f>1+A105</f>
        <v/>
      </c>
      <c r="B105">
        <f t="array" ref="B106">_xlfn.IFS(ISBLANK(D106),"",ISBLANK(C106),"no venue",ISBLANK(E106),"no bib",ISNUMBER(SEARCH("xiv", C106)),"arxiv",SUM(I106:AA106)&lt;3,"no categories",TRUE,"")</f>
        <v/>
      </c>
      <c r="C105" t="inlineStr">
        <is>
          <t>ACL</t>
        </is>
      </c>
      <c r="D105" s="2" t="inlineStr">
        <is>
          <t>Mediocrity is the key for LLM as a Judge Anchor Selection</t>
        </is>
      </c>
      <c r="E105" s="12" t="inlineStr">
        <is>
          <t>don2026mediocrity</t>
        </is>
      </c>
      <c r="G105" t="n">
        <v>2026</v>
      </c>
      <c r="H105" t="n">
        <v>1</v>
      </c>
      <c r="AG105" s="8" t="n"/>
    </row>
    <row r="106" ht="17" customHeight="1">
      <c r="A106">
        <f>1+A106</f>
        <v/>
      </c>
      <c r="B106">
        <f t="array" ref="B107">_xlfn.IFS(ISBLANK(D107),"",ISBLANK(C107),"no venue",ISBLANK(E107),"no bib",ISNUMBER(SEARCH("xiv", C107)),"arxiv",SUM(I107:AA107)&lt;3,"no categories",TRUE,"")</f>
        <v/>
      </c>
      <c r="C106" t="inlineStr">
        <is>
          <t>ArXiv</t>
        </is>
      </c>
      <c r="D106" s="2" t="inlineStr">
        <is>
          <t>Retrieval Augmented Generation Compositionality</t>
        </is>
      </c>
      <c r="G106" t="n">
        <v>2026</v>
      </c>
      <c r="H106" t="n">
        <v>1</v>
      </c>
      <c r="AG106" s="8" t="n"/>
    </row>
    <row r="107" ht="17" customHeight="1">
      <c r="A107">
        <f>1+A107</f>
        <v/>
      </c>
      <c r="B107">
        <f t="array" ref="B108">_xlfn.IFS(ISBLANK(D108),"",ISBLANK(C108),"no venue",ISBLANK(E108),"no bib",ISNUMBER(SEARCH("xiv", C108)),"arxiv",SUM(I108:AA108)&lt;3,"no categories",TRUE,"")</f>
        <v/>
      </c>
      <c r="C107" t="inlineStr">
        <is>
          <t>ArXiv</t>
        </is>
      </c>
      <c r="D107" s="2" t="inlineStr">
        <is>
          <t>EVALUATION CARDS: An Interpretive Layer for AI Evaluation Reporting</t>
        </is>
      </c>
      <c r="E107" s="12" t="inlineStr">
        <is>
          <t>ghosh2026evaluationcardsinterpretivelayer</t>
        </is>
      </c>
      <c r="G107" t="n">
        <v>2026</v>
      </c>
      <c r="H107" t="n">
        <v>1</v>
      </c>
      <c r="AG107" s="8" t="n"/>
    </row>
    <row r="108" ht="17" customHeight="1">
      <c r="A108">
        <f>1+A108</f>
        <v/>
      </c>
      <c r="B108">
        <f t="array" ref="B109">_xlfn.IFS(ISBLANK(D109),"",ISBLANK(C109),"no venue",ISBLANK(E109),"no bib",ISNUMBER(SEARCH("xiv", C109)),"arxiv",SUM(I109:AA109)&lt;3,"no categories",TRUE,"")</f>
        <v/>
      </c>
      <c r="C108" t="inlineStr">
        <is>
          <t>ArXiv</t>
        </is>
      </c>
      <c r="D108" s="2" t="inlineStr">
        <is>
          <t>MindGames:A Multi-Agent Benchmark and Trajectory Dataset for Evaluating Social and Strategic Reasoning in LLMs</t>
        </is>
      </c>
      <c r="E108" t="inlineStr">
        <is>
          <t>wang2026mindgameslivearenaevaluating</t>
        </is>
      </c>
      <c r="G108" t="n">
        <v>2026</v>
      </c>
      <c r="H108" t="n">
        <v>1</v>
      </c>
      <c r="AG108" s="8" t="n"/>
    </row>
    <row r="109" ht="17" customHeight="1">
      <c r="A109">
        <f>1+A109</f>
        <v/>
      </c>
      <c r="B109">
        <f t="array" ref="B110">_xlfn.IFS(ISBLANK(D110),"",ISBLANK(C110),"no venue",ISBLANK(E110),"no bib",ISNUMBER(SEARCH("xiv", C110)),"arxiv",SUM(I110:AA110)&lt;3,"no categories",TRUE,"")</f>
        <v/>
      </c>
      <c r="C109" t="inlineStr">
        <is>
          <t>ArXiv</t>
        </is>
      </c>
      <c r="D109" s="2" t="inlineStr">
        <is>
          <t>Every Eval Ever: A Unifying Schema and Community Repository for AI Evaluation Results</t>
        </is>
      </c>
      <c r="G109" t="n">
        <v>2026</v>
      </c>
      <c r="H109" t="n">
        <v>1</v>
      </c>
      <c r="AG109" s="8" t="n"/>
    </row>
    <row r="110" ht="17" customHeight="1">
      <c r="A110">
        <f>1+A110</f>
        <v/>
      </c>
      <c r="B110">
        <f t="array" ref="B111">_xlfn.IFS(ISBLANK(D111),"",ISBLANK(C111),"no venue",ISBLANK(E111),"no bib",ISNUMBER(SEARCH("xiv", C111)),"arxiv",SUM(I111:AA111)&lt;3,"no categories",TRUE,"")</f>
        <v/>
      </c>
      <c r="C110" t="inlineStr">
        <is>
          <t>ArXiv</t>
        </is>
      </c>
      <c r="D110" s="2" t="inlineStr">
        <is>
          <t>Instructions shape Production of Language, not Processing</t>
        </is>
      </c>
      <c r="E110" t="inlineStr">
        <is>
          <t>waldis2026instructions</t>
        </is>
      </c>
      <c r="G110" t="n">
        <v>2026</v>
      </c>
      <c r="H110" t="n">
        <v>1</v>
      </c>
      <c r="AG110" s="8" t="n"/>
    </row>
    <row r="111" ht="17" customHeight="1">
      <c r="A111">
        <f>1+A111</f>
        <v/>
      </c>
      <c r="B111">
        <f t="array" ref="B112">_xlfn.IFS(ISBLANK(D112),"",ISBLANK(C112),"no venue",ISBLANK(E112),"no bib",ISNUMBER(SEARCH("xiv", C112)),"arxiv",SUM(I112:AA112)&lt;3,"no categories",TRUE,"")</f>
        <v/>
      </c>
      <c r="C111" t="inlineStr">
        <is>
          <t>ArXiv</t>
        </is>
      </c>
      <c r="D111" s="2" t="inlineStr">
        <is>
          <t>Growing Pains: Extensible and Efficient LLM Benchmarking Via Fixed Parameter Calibration</t>
        </is>
      </c>
      <c r="E111" s="12" t="inlineStr">
        <is>
          <t>habba2026growing</t>
        </is>
      </c>
      <c r="G111" t="n">
        <v>2026</v>
      </c>
      <c r="H111" t="n">
        <v>1</v>
      </c>
      <c r="AG111" s="8" t="n"/>
    </row>
    <row r="112" ht="17" customHeight="1">
      <c r="A112" t="n">
        <v>2</v>
      </c>
      <c r="C112" t="inlineStr">
        <is>
          <t>Nature 591 (7850), 379-384, 2021</t>
        </is>
      </c>
      <c r="D112" t="inlineStr">
        <is>
          <t>An autonomous debating system</t>
        </is>
      </c>
      <c r="F112" t="inlineStr">
        <is>
          <t>N Slonim, Y Bilu, C Alzate, R Bar-Haim, B Bogin, F Bonin, L Choshen, ...</t>
        </is>
      </c>
      <c r="G112" t="n">
        <v>2021</v>
      </c>
      <c r="AA112" t="n">
        <v>1</v>
      </c>
    </row>
    <row r="113" ht="17" customHeight="1">
      <c r="A113" t="n">
        <v>3</v>
      </c>
      <c r="C113" t="inlineStr">
        <is>
          <t>Proceedings of the 29th International Conference on Computational …, 2022</t>
        </is>
      </c>
      <c r="D113" t="inlineStr">
        <is>
          <t>Reinforcement learning with large action spaces for neural machine translation</t>
        </is>
      </c>
      <c r="F113" t="inlineStr">
        <is>
          <t>A Yehudai, L Choshen, L Fox, O Abend</t>
        </is>
      </c>
      <c r="G113" t="n">
        <v>2022</v>
      </c>
      <c r="AA113" t="n">
        <v>1</v>
      </c>
    </row>
    <row r="114" ht="17" customHeight="1">
      <c r="A114" t="n">
        <v>4</v>
      </c>
      <c r="C114" t="inlineStr">
        <is>
          <t>arXiv preprint arXiv:2602.20092, 2026</t>
        </is>
      </c>
      <c r="D114" t="inlineStr">
        <is>
          <t>BabyLM Turns 4 and Goes Multilingual: Call for Papers for the 2026 BabyLM Workshop</t>
        </is>
      </c>
      <c r="F114" t="inlineStr">
        <is>
          <t>L Choshen, R Cotterell, MO Gul, J Jumelet, T Linzen, A Mueller, S Salhan, ...</t>
        </is>
      </c>
      <c r="G114" t="n">
        <v>2026</v>
      </c>
      <c r="AA114" t="n">
        <v>1</v>
      </c>
    </row>
    <row r="115" ht="17" customHeight="1">
      <c r="A115" t="n">
        <v>5</v>
      </c>
      <c r="C115" t="inlineStr">
        <is>
          <t>Blog Post, EvalEval Coalition, 2026</t>
        </is>
      </c>
      <c r="D115" t="inlineStr">
        <is>
          <t>Every eval ever: Toward a common language for ai eval reporting</t>
        </is>
      </c>
      <c r="F115" t="inlineStr">
        <is>
          <t>J Batzner, L Choshen, A Ghosh, SH Nelaturu, A Kornilova, D Stachura, ...</t>
        </is>
      </c>
      <c r="G115" t="n">
        <v>2026</v>
      </c>
      <c r="AA115" t="n">
        <v>1</v>
      </c>
    </row>
    <row r="116" ht="17" customHeight="1">
      <c r="A116" t="n">
        <v>6</v>
      </c>
      <c r="C116" t="inlineStr">
        <is>
          <t>US Patent 12,093,645, 2024</t>
        </is>
      </c>
      <c r="D116" t="inlineStr">
        <is>
          <t>Inter-training of pre-trained transformer-based language models using partitioning and classification</t>
        </is>
      </c>
      <c r="F116" t="inlineStr">
        <is>
          <t>E Shnarch, G Ariel, A Halfon, L Dankin, L CHOSHEN, R Aharonov, ...</t>
        </is>
      </c>
      <c r="G116" t="n">
        <v>2024</v>
      </c>
      <c r="AA116" t="n">
        <v>1</v>
      </c>
    </row>
    <row r="117" ht="17" customHeight="1">
      <c r="A117" t="n">
        <v>7</v>
      </c>
      <c r="C117" t="inlineStr">
        <is>
          <t>Proceedings of the 26th Conference on Computational Natural Language …, 2022</t>
        </is>
      </c>
      <c r="D117" t="inlineStr">
        <is>
          <t>On neurons invariant to sentence structural changes in neural machine translation</t>
        </is>
      </c>
      <c r="F117" t="inlineStr">
        <is>
          <t>G Patel, L Choshen, O Abend</t>
        </is>
      </c>
      <c r="G117" t="n">
        <v>2022</v>
      </c>
      <c r="AA117" t="n">
        <v>1</v>
      </c>
    </row>
    <row r="118" ht="17" customHeight="1">
      <c r="A118" t="n">
        <v>8</v>
      </c>
      <c r="C118" t="inlineStr">
        <is>
          <t>Proceedings of the 60th Annual Meeting of the Association for Computational …, 2022</t>
        </is>
      </c>
      <c r="D118" t="inlineStr">
        <is>
          <t>True or false? faithful summarization with attribution</t>
        </is>
      </c>
      <c r="F118" t="inlineStr">
        <is>
          <t>O Honovich, T Scialom, L Choshen, E Shnarch, O Abend</t>
        </is>
      </c>
      <c r="G118" t="n">
        <v>2022</v>
      </c>
      <c r="AA118" t="n">
        <v>1</v>
      </c>
    </row>
    <row r="119" ht="17" customHeight="1">
      <c r="A119" t="n">
        <v>9</v>
      </c>
      <c r="D119" t="inlineStr">
        <is>
          <t>LLM Hypnosis: Characterizing the Fragility of RLHF Against Unprivileged Knowledge Injection</t>
        </is>
      </c>
      <c r="F119" t="inlineStr">
        <is>
          <t>A Hilel, R Bhagwat, L Choshen, I Shenfeld, J Andreas</t>
        </is>
      </c>
      <c r="AA119" t="n">
        <v>1</v>
      </c>
    </row>
    <row r="120" ht="17" customHeight="1">
      <c r="A120" t="n">
        <v>10</v>
      </c>
      <c r="C120" t="inlineStr">
        <is>
          <t>arXiv preprint arXiv:2605.29512, 2026</t>
        </is>
      </c>
      <c r="D120" t="inlineStr">
        <is>
          <t>MINDGAMES: A Live Arena for Evaluating Social and Strategic Reasoning in Multi-Agent LLMs</t>
        </is>
      </c>
      <c r="F120" t="inlineStr">
        <is>
          <t>K Wang, A Thöni, B Kempinski, B Cheng, J Yao, B Finch, L Guertler, ...</t>
        </is>
      </c>
      <c r="G120" t="n">
        <v>2026</v>
      </c>
      <c r="AA120" t="n">
        <v>1</v>
      </c>
    </row>
    <row r="121" ht="17" customHeight="1">
      <c r="A121" t="n">
        <v>11</v>
      </c>
      <c r="C121" t="inlineStr">
        <is>
          <t>US Patent App. 18/454,124, 2025</t>
        </is>
      </c>
      <c r="D121" t="inlineStr">
        <is>
          <t>Automated training on massive multitask</t>
        </is>
      </c>
      <c r="F121" t="inlineStr">
        <is>
          <t>L CHOSHEN, E Venezian, SB Don-Yehiya</t>
        </is>
      </c>
      <c r="G121" t="n">
        <v>2025</v>
      </c>
      <c r="AA121" t="n">
        <v>1</v>
      </c>
    </row>
    <row r="122" ht="17" customHeight="1">
      <c r="A122" t="n">
        <v>12</v>
      </c>
      <c r="C122" t="inlineStr">
        <is>
          <t>US Patent App. 18/350,269, 2025</t>
        </is>
      </c>
      <c r="D122" t="inlineStr">
        <is>
          <t>Base model selection for finetuning</t>
        </is>
      </c>
      <c r="F122" t="inlineStr">
        <is>
          <t>L CHOSHEN, E Venezian, SB Don-Yehiya, YA Katz, N Slonim</t>
        </is>
      </c>
      <c r="G122" t="n">
        <v>2025</v>
      </c>
      <c r="AA122" t="n">
        <v>1</v>
      </c>
    </row>
    <row r="123" ht="17" customHeight="1">
      <c r="A123" t="n">
        <v>13</v>
      </c>
      <c r="C123" t="inlineStr">
        <is>
          <t>Proceedings of the 27th Conference on Computational Natural Language …, 2023</t>
        </is>
      </c>
      <c r="D123" t="inlineStr">
        <is>
          <t>MuLER: Detailed and Scalable Reference-based Evaluation</t>
        </is>
      </c>
      <c r="F123" t="inlineStr">
        <is>
          <t>T Karidi, L Choshen, G Patel, O Abend</t>
        </is>
      </c>
      <c r="G123" t="n">
        <v>2023</v>
      </c>
      <c r="AA123" t="n">
        <v>1</v>
      </c>
    </row>
    <row r="124" ht="17" customHeight="1">
      <c r="A124" t="n">
        <v>14</v>
      </c>
      <c r="C124" t="inlineStr">
        <is>
          <t>NeurIPS 2025 Workshop on Evaluating the Evolving LLM Lifecycle: Benchmarks …, 0</t>
        </is>
      </c>
      <c r="D124" t="inlineStr">
        <is>
          <t>A Statistical Framework for Game-Based AI Evaluation</t>
        </is>
      </c>
      <c r="F124" t="inlineStr">
        <is>
          <t>FM Polo, L Choshen, Y Sun, K Greenewald</t>
        </is>
      </c>
      <c r="AA124" t="n">
        <v>1</v>
      </c>
    </row>
    <row r="125" ht="17" customHeight="1">
      <c r="A125" t="n">
        <v>15</v>
      </c>
      <c r="D125" t="inlineStr">
        <is>
          <t>Stop Guessing When to Stop Testing: Efficient Model Evaluation with Just Enough Data</t>
        </is>
      </c>
      <c r="F125" t="inlineStr">
        <is>
          <t>O Arviv, K Greenewald, Y Perlitz, H Mulian, M Shmueli-Scheuer, ...</t>
        </is>
      </c>
      <c r="AA125" t="n">
        <v>1</v>
      </c>
    </row>
    <row r="126" ht="17" customHeight="1">
      <c r="A126" t="n">
        <v>16</v>
      </c>
      <c r="C126" t="inlineStr">
        <is>
          <t>arXiv preprint arXiv:2606.24579, 2026</t>
        </is>
      </c>
      <c r="D126" t="inlineStr">
        <is>
          <t>Cross-Lingual Exploration for Parametric Knowledge</t>
        </is>
      </c>
      <c r="F126" t="inlineStr">
        <is>
          <t>E Diskind, I Trainin, U Shaham, L Choshen, I Szpektor, O Abend</t>
        </is>
      </c>
      <c r="G126" t="n">
        <v>2026</v>
      </c>
      <c r="AA126" t="n">
        <v>1</v>
      </c>
    </row>
    <row r="127" ht="17" customHeight="1">
      <c r="A127">
        <f>1+A112</f>
        <v/>
      </c>
      <c r="B127">
        <f>_xlfn.IFS(ISBLANK(D113),"",ISBLANK(C113),"no venue",ISBLANK(E113),"no bib",ISNUMBER(SEARCH("xiv", C113)),"arxiv",SUM(I113:AA113)&lt;3,"no categories",TRUE,"")</f>
        <v/>
      </c>
      <c r="G127" t="n">
        <v>2026</v>
      </c>
      <c r="H127" t="n">
        <v>1</v>
      </c>
      <c r="AG127" s="8" t="n"/>
    </row>
    <row r="128" ht="17" customHeight="1">
      <c r="A128">
        <f>1+A113</f>
        <v/>
      </c>
      <c r="B128">
        <f>_xlfn.IFS(ISBLANK(D114),"",ISBLANK(C114),"no venue",ISBLANK(E114),"no bib",ISNUMBER(SEARCH("xiv", C114)),"arxiv",SUM(I114:AA114)&lt;3,"no categories",TRUE,"")</f>
        <v/>
      </c>
      <c r="G128" t="n">
        <v>2026</v>
      </c>
      <c r="H128" t="n">
        <v>1</v>
      </c>
      <c r="AG128" s="8" t="n"/>
    </row>
    <row r="129" ht="17" customHeight="1">
      <c r="A129">
        <f>1+A114</f>
        <v/>
      </c>
      <c r="B129">
        <f>_xlfn.IFS(ISBLANK(D115),"",ISBLANK(C115),"no venue",ISBLANK(E115),"no bib",ISNUMBER(SEARCH("xiv", C115)),"arxiv",SUM(I115:AA115)&lt;3,"no categories",TRUE,"")</f>
        <v/>
      </c>
      <c r="G129" t="n">
        <v>2026</v>
      </c>
      <c r="H129" t="n">
        <v>1</v>
      </c>
      <c r="AG129" s="8" t="n"/>
    </row>
    <row r="130" ht="17" customHeight="1">
      <c r="A130">
        <f>1+A115</f>
        <v/>
      </c>
      <c r="B130">
        <f>_xlfn.IFS(ISBLANK(D116),"",ISBLANK(C116),"no venue",ISBLANK(E116),"no bib",ISNUMBER(SEARCH("xiv", C116)),"arxiv",SUM(I116:AA116)&lt;3,"no categories",TRUE,"")</f>
        <v/>
      </c>
      <c r="G130" t="n">
        <v>2026</v>
      </c>
      <c r="H130" t="n">
        <v>1</v>
      </c>
      <c r="AG130" s="8" t="n"/>
    </row>
    <row r="131" ht="17" customHeight="1">
      <c r="A131">
        <f>1+A116</f>
        <v/>
      </c>
      <c r="B131">
        <f>_xlfn.IFS(ISBLANK(D117),"",ISBLANK(C117),"no venue",ISBLANK(E117),"no bib",ISNUMBER(SEARCH("xiv", C117)),"arxiv",SUM(I117:AA117)&lt;3,"no categories",TRUE,"")</f>
        <v/>
      </c>
      <c r="AG131" s="8" t="n"/>
    </row>
    <row r="132" ht="17" customHeight="1">
      <c r="A132">
        <f>1+A117</f>
        <v/>
      </c>
      <c r="B132">
        <f>_xlfn.IFS(ISBLANK(D118),"",ISBLANK(C118),"no venue",ISBLANK(E118),"no bib",ISNUMBER(SEARCH("xiv", C118)),"arxiv",SUM(I118:AA118)&lt;3,"no categories",TRUE,"")</f>
        <v/>
      </c>
      <c r="AG132" s="8" t="n"/>
    </row>
    <row r="133" ht="17" customHeight="1">
      <c r="A133">
        <f>1+A118</f>
        <v/>
      </c>
      <c r="B133">
        <f>_xlfn.IFS(ISBLANK(D119),"",ISBLANK(C119),"no venue",ISBLANK(E119),"no bib",ISNUMBER(SEARCH("xiv", C119)),"arxiv",SUM(I119:AA119)&lt;3,"no categories",TRUE,"")</f>
        <v/>
      </c>
      <c r="AG133" s="8" t="n"/>
    </row>
    <row r="134" ht="17" customHeight="1">
      <c r="A134">
        <f>1+A119</f>
        <v/>
      </c>
      <c r="B134">
        <f>_xlfn.IFS(ISBLANK(D120),"",ISBLANK(C120),"no venue",ISBLANK(E120),"no bib",ISNUMBER(SEARCH("xiv", C120)),"arxiv",SUM(I120:AA120)&lt;3,"no categories",TRUE,"")</f>
        <v/>
      </c>
      <c r="AG134" s="8" t="n"/>
    </row>
    <row r="135" ht="17" customHeight="1">
      <c r="A135">
        <f>1+A120</f>
        <v/>
      </c>
      <c r="B135">
        <f>_xlfn.IFS(ISBLANK(D121),"",ISBLANK(C121),"no venue",ISBLANK(E121),"no bib",ISNUMBER(SEARCH("xiv", C121)),"arxiv",SUM(I121:AA121)&lt;3,"no categories",TRUE,"")</f>
        <v/>
      </c>
      <c r="AG135" s="8" t="n"/>
    </row>
    <row r="136" ht="17" customHeight="1">
      <c r="A136">
        <f>1+A121</f>
        <v/>
      </c>
      <c r="B136">
        <f>_xlfn.IFS(ISBLANK(D122),"",ISBLANK(C122),"no venue",ISBLANK(E122),"no bib",ISNUMBER(SEARCH("xiv", C122)),"arxiv",SUM(I122:AA122)&lt;3,"no categories",TRUE,"")</f>
        <v/>
      </c>
      <c r="AG136" s="8" t="n"/>
    </row>
    <row r="137" ht="17" customHeight="1">
      <c r="A137">
        <f>1+A122</f>
        <v/>
      </c>
      <c r="B137">
        <f>_xlfn.IFS(ISBLANK(D123),"",ISBLANK(C123),"no venue",ISBLANK(E123),"no bib",ISNUMBER(SEARCH("xiv", C123)),"arxiv",SUM(I123:AA123)&lt;3,"no categories",TRUE,"")</f>
        <v/>
      </c>
      <c r="AG137" s="8" t="n"/>
    </row>
    <row r="138" ht="17" customHeight="1">
      <c r="A138">
        <f>1+A123</f>
        <v/>
      </c>
      <c r="B138">
        <f>_xlfn.IFS(ISBLANK(D124),"",ISBLANK(C124),"no venue",ISBLANK(E124),"no bib",ISNUMBER(SEARCH("xiv", C124)),"arxiv",SUM(I124:AA124)&lt;3,"no categories",TRUE,"")</f>
        <v/>
      </c>
      <c r="AG138" s="8" t="n"/>
    </row>
    <row r="139" ht="17" customHeight="1">
      <c r="A139">
        <f>1+A124</f>
        <v/>
      </c>
      <c r="B139">
        <f>_xlfn.IFS(ISBLANK(D125),"",ISBLANK(C125),"no venue",ISBLANK(E125),"no bib",ISNUMBER(SEARCH("xiv", C125)),"arxiv",SUM(I125:AA125)&lt;3,"no categories",TRUE,"")</f>
        <v/>
      </c>
      <c r="AG139" s="8" t="n"/>
    </row>
    <row r="140" ht="17" customHeight="1">
      <c r="A140">
        <f>1+A125</f>
        <v/>
      </c>
      <c r="B140">
        <f>_xlfn.IFS(ISBLANK(D126),"",ISBLANK(C126),"no venue",ISBLANK(E126),"no bib",ISNUMBER(SEARCH("xiv", C126)),"arxiv",SUM(I126:AA126)&lt;3,"no categories",TRUE,"")</f>
        <v/>
      </c>
      <c r="AG140" s="8" t="n"/>
    </row>
    <row r="141" ht="17" customHeight="1">
      <c r="A141">
        <f>1+A126</f>
        <v/>
      </c>
      <c r="B141">
        <f>_xlfn.IFS(ISBLANK(D127),"",ISBLANK(C127),"no venue",ISBLANK(E127),"no bib",ISNUMBER(SEARCH("xiv", C127)),"arxiv",SUM(I127:AA127)&lt;3,"no categories",TRUE,"")</f>
        <v/>
      </c>
      <c r="AG141" s="8" t="n"/>
    </row>
    <row r="142" ht="17" customHeight="1">
      <c r="A142">
        <f>1+A127</f>
        <v/>
      </c>
      <c r="B142">
        <f>_xlfn.IFS(ISBLANK(D128),"",ISBLANK(C128),"no venue",ISBLANK(E128),"no bib",ISNUMBER(SEARCH("xiv", C128)),"arxiv",SUM(I128:AA128)&lt;3,"no categories",TRUE,"")</f>
        <v/>
      </c>
      <c r="AG142" s="8" t="n"/>
    </row>
    <row r="143" ht="17" customHeight="1">
      <c r="AG143" s="8" t="n"/>
    </row>
    <row r="144" ht="17" customHeight="1">
      <c r="AG144" s="8" t="n"/>
    </row>
    <row r="145" ht="17" customHeight="1">
      <c r="AG145" s="8" t="n"/>
    </row>
    <row r="146" ht="17" customHeight="1">
      <c r="AG146" s="8" t="n"/>
    </row>
    <row r="147" ht="17" customHeight="1">
      <c r="AG147" s="8" t="n"/>
    </row>
    <row r="148" ht="17" customHeight="1">
      <c r="AG148" s="8" t="n"/>
    </row>
    <row r="149" ht="17" customHeight="1">
      <c r="AG149" s="8" t="n"/>
    </row>
    <row r="150" ht="17" customHeight="1">
      <c r="AG150" s="8" t="n"/>
    </row>
    <row r="151"/>
    <row r="152">
      <c r="G152" s="1" t="inlineStr">
        <is>
          <t>sum:</t>
        </is>
      </c>
      <c r="H152">
        <f>SUM(H2:H79)</f>
        <v/>
      </c>
      <c r="I152">
        <f>SUM(I2:I78)</f>
        <v/>
      </c>
      <c r="J152">
        <f>SUM(J2:J78)</f>
        <v/>
      </c>
      <c r="K152">
        <f>SUM(K2:K78)</f>
        <v/>
      </c>
      <c r="L152">
        <f>SUM(L2:L78)</f>
        <v/>
      </c>
      <c r="M152">
        <f>SUM(M2:M78)</f>
        <v/>
      </c>
      <c r="N152">
        <f>SUM(N2:N78)</f>
        <v/>
      </c>
      <c r="O152">
        <f>SUM(O2:O79)</f>
        <v/>
      </c>
      <c r="P152">
        <f>SUM(P2:P78)</f>
        <v/>
      </c>
      <c r="Q152">
        <f>SUM(Q2:Q78)</f>
        <v/>
      </c>
      <c r="R152">
        <f>SUM(R2:R78)</f>
        <v/>
      </c>
      <c r="S152">
        <f>SUM(S2:S78)</f>
        <v/>
      </c>
      <c r="T152">
        <f>SUM(T2:T79)</f>
        <v/>
      </c>
      <c r="U152">
        <f>SUM(U2:U78)</f>
        <v/>
      </c>
      <c r="V152">
        <f>SUM(V2:V78)</f>
        <v/>
      </c>
      <c r="W152">
        <f>SUM(W2:W79)</f>
        <v/>
      </c>
      <c r="X152">
        <f>SUM(X2:X78)</f>
        <v/>
      </c>
      <c r="Y152">
        <f>SUM(Y2:Y79)</f>
        <v/>
      </c>
      <c r="Z152">
        <f>SUM(Z2:Z78)</f>
        <v/>
      </c>
      <c r="AA152">
        <f>SUM(AA2:AA78)</f>
        <v/>
      </c>
      <c r="AD152">
        <f>COUNT(A2:A78)</f>
        <v/>
      </c>
      <c r="AE152">
        <f>SUM(AE2:AE79)</f>
        <v/>
      </c>
      <c r="AF152">
        <f>SUM(AF2:AF79)</f>
        <v/>
      </c>
      <c r="AG152">
        <f>IF(AF138,E80,"")</f>
        <v/>
      </c>
      <c r="AH152">
        <f>IF(W138,E80,"")</f>
        <v/>
      </c>
      <c r="AI152">
        <f>IF(Y138,E80,"")</f>
        <v/>
      </c>
      <c r="AJ152">
        <f>IF(AE138,E80,"")</f>
        <v/>
      </c>
    </row>
    <row r="153">
      <c r="G153" s="1" t="inlineStr">
        <is>
          <t>AVG:</t>
        </is>
      </c>
      <c r="H153" s="7">
        <f>H138/$AD$138</f>
        <v/>
      </c>
      <c r="I153" s="7">
        <f>I138/$AD$138</f>
        <v/>
      </c>
      <c r="J153" s="7">
        <f>J138/$AD$138</f>
        <v/>
      </c>
      <c r="K153" s="7">
        <f>K138/$AD$138</f>
        <v/>
      </c>
      <c r="L153" s="7">
        <f>L138/$AD$138</f>
        <v/>
      </c>
      <c r="M153" s="7">
        <f>M138/$AD$138</f>
        <v/>
      </c>
      <c r="N153" s="7">
        <f>N138/$AD$138</f>
        <v/>
      </c>
      <c r="O153" s="7">
        <f>O138/$AD$138</f>
        <v/>
      </c>
      <c r="P153" s="7">
        <f>P138/$AD$138</f>
        <v/>
      </c>
      <c r="Q153" s="7">
        <f>Q138/$AD$138</f>
        <v/>
      </c>
      <c r="R153" s="7">
        <f>R138/$AD$138</f>
        <v/>
      </c>
      <c r="S153" s="7">
        <f>S138/$AD$138</f>
        <v/>
      </c>
      <c r="T153" s="7">
        <f>T138/$AD$138</f>
        <v/>
      </c>
      <c r="U153" s="7">
        <f>U138/$AD$138</f>
        <v/>
      </c>
      <c r="V153" s="7">
        <f>V138/$AD$138</f>
        <v/>
      </c>
      <c r="W153" s="7">
        <f>W138/$AD$138</f>
        <v/>
      </c>
      <c r="X153" s="7">
        <f>X138/$AD$138</f>
        <v/>
      </c>
      <c r="Y153" s="7">
        <f>Y138/$AD$138</f>
        <v/>
      </c>
      <c r="Z153" s="7">
        <f>Z138/$AD$138</f>
        <v/>
      </c>
      <c r="AA153" s="7">
        <f>AA138/$AD$138</f>
        <v/>
      </c>
      <c r="AB153" s="7" t="n"/>
      <c r="AC153" s="7" t="n"/>
      <c r="AD153">
        <f>COUNT(A3:A80)</f>
        <v/>
      </c>
      <c r="AG153">
        <f>IF(AF139,#REF!,"")</f>
        <v/>
      </c>
      <c r="AH153">
        <f>IF(W139,#REF!,"")</f>
        <v/>
      </c>
      <c r="AI153">
        <f>IF(Y139,#REF!,"")</f>
        <v/>
      </c>
      <c r="AJ153">
        <f>IF(AE139,#REF!,"")</f>
        <v/>
      </c>
    </row>
  </sheetData>
  <autoFilter ref="A1:AK78"/>
  <conditionalFormatting sqref="B2:B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xmlns:r="http://schemas.openxmlformats.org/officeDocument/2006/relationships" ref="C14" display="https://openreview.net/profile?email=leshem.choshen%40mail.huji.ac.il" r:id="rId1"/>
    <hyperlink xmlns:r="http://schemas.openxmlformats.org/officeDocument/2006/relationships" ref="C22" display="https://scholar.google.com/citations?view_op=view_citation&amp;hl=en&amp;user=8b8IhUYAAAAJ&amp;sortby=pubdate&amp;citation_for_view=8b8IhUYAAAAJ:ULOm3_A8WrAC" r:id="rId2"/>
    <hyperlink xmlns:r="http://schemas.openxmlformats.org/officeDocument/2006/relationships" ref="C23" display="https://scholar.google.com/citations?view_op=view_citation&amp;hl=en&amp;user=8b8IhUYAAAAJ&amp;sortby=pubdate&amp;citation_for_view=8b8IhUYAAAAJ:YOwf2qJgpHMC" r:id="rId3"/>
    <hyperlink xmlns:r="http://schemas.openxmlformats.org/officeDocument/2006/relationships" ref="C24" display="https://arxiv.org/abs/2204.03044" r:id="rId4"/>
    <hyperlink xmlns:r="http://schemas.openxmlformats.org/officeDocument/2006/relationships" ref="C26" display="https://scholar.google.com/citations?view_op=view_citation&amp;hl=en&amp;user=8b8IhUYAAAAJ&amp;sortby=pubdate&amp;citation_for_view=8b8IhUYAAAAJ:qxL8FJ1GzNcC" r:id="rId5"/>
    <hyperlink xmlns:r="http://schemas.openxmlformats.org/officeDocument/2006/relationships" ref="D32" display="https://scholar.google.co.il/citations?view_op=view_citation&amp;hl=ar&amp;user=8b8IhUYAAAAJ&amp;cstart=20&amp;pagesize=80&amp;citation_for_view=8b8IhUYAAAAJ:9ZlFYXVOiuMC" r:id="rId6"/>
    <hyperlink xmlns:r="http://schemas.openxmlformats.org/officeDocument/2006/relationships" ref="C42" display="https://openreview.net/forum?id=jvNVmkGxiU&amp;referrer=%5BAuthor%20Console%5D(%2Fgroup%3Fid%3DEMNLP%2F2023%2FConference%2FAuthors%23your-submissions)" r:id="rId7"/>
    <hyperlink xmlns:r="http://schemas.openxmlformats.org/officeDocument/2006/relationships" ref="C43" display="https://arxiv.org/abs/2407.21530" r:id="rId8"/>
    <hyperlink xmlns:r="http://schemas.openxmlformats.org/officeDocument/2006/relationships" ref="C46" display="https://scholar.google.co.il/citations?view_op=view_citation&amp;hl=ar&amp;user=n9iywfAAAAAJ&amp;citation_for_view=n9iywfAAAAAJ:Y0pCki6q_DkC" r:id="rId9"/>
    <hyperlink xmlns:r="http://schemas.openxmlformats.org/officeDocument/2006/relationships" ref="C50" display="https://arxiv.org/abs/2402.16842" r:id="rId10"/>
    <hyperlink xmlns:r="http://schemas.openxmlformats.org/officeDocument/2006/relationships" ref="C51" display="https://arxiv.org/abs/2402.14992" r:id="rId11"/>
    <hyperlink xmlns:r="http://schemas.openxmlformats.org/officeDocument/2006/relationships" ref="C52" display="https://arxiv.org/abs/2404.18923" r:id="rId12"/>
    <hyperlink xmlns:r="http://schemas.openxmlformats.org/officeDocument/2006/relationships" ref="C53" display="https://arxiv.org/abs/2401.14019" r:id="rId13"/>
    <hyperlink xmlns:r="http://schemas.openxmlformats.org/officeDocument/2006/relationships" ref="C54" display="https://arxiv.org/abs/2402.07891" r:id="rId14"/>
    <hyperlink xmlns:r="http://schemas.openxmlformats.org/officeDocument/2006/relationships" ref="C55" display="https://arxiv.org/abs/2408.07057" r:id="rId15"/>
    <hyperlink xmlns:r="http://schemas.openxmlformats.org/officeDocument/2006/relationships" ref="C56" display="https://arxiv.org/abs/2405.09605" r:id="rId16"/>
    <hyperlink xmlns:r="http://schemas.openxmlformats.org/officeDocument/2006/relationships" ref="D56" display="https://arxiv.org/abs/2405.09605" r:id="rId17"/>
    <hyperlink xmlns:r="http://schemas.openxmlformats.org/officeDocument/2006/relationships" ref="C57" display="https://arxiv.org/abs/2405.17202" r:id="rId18"/>
    <hyperlink xmlns:r="http://schemas.openxmlformats.org/officeDocument/2006/relationships" ref="C58" display="https://arxiv.org/abs/2404.00459" r:id="rId19"/>
    <hyperlink xmlns:r="http://schemas.openxmlformats.org/officeDocument/2006/relationships" ref="C59" display="https://arxiv.org/abs/2404.15198" r:id="rId20"/>
    <hyperlink xmlns:r="http://schemas.openxmlformats.org/officeDocument/2006/relationships" ref="C60" display="https://scholar.google.com/citations?view_op=view_citation&amp;hl=en&amp;user=8b8IhUYAAAAJ&amp;sortby=pubdate&amp;citation_for_view=8b8IhUYAAAAJ:ZHo1McVdvXMC" r:id="rId21"/>
    <hyperlink xmlns:r="http://schemas.openxmlformats.org/officeDocument/2006/relationships" ref="C61" display="https://scholar.google.com/citations?view_op=view_citation&amp;hl=en&amp;user=8b8IhUYAAAAJ&amp;sortby=pubdate&amp;citation_for_view=8b8IhUYAAAAJ:3s1wT3WcHBgC" r:id="rId22"/>
    <hyperlink xmlns:r="http://schemas.openxmlformats.org/officeDocument/2006/relationships" ref="C62" display="https://arxiv.org/abs/2408.08291" r:id="rId23"/>
    <hyperlink xmlns:r="http://schemas.openxmlformats.org/officeDocument/2006/relationships" ref="C63" display="https://arxiv.org/abs/2407.10944" r:id="rId24"/>
    <hyperlink xmlns:r="http://schemas.openxmlformats.org/officeDocument/2006/relationships" ref="D63" display="https://scholar.google.com/citations?view_op=view_citation&amp;hl=en&amp;user=8b8IhUYAAAAJ&amp;cstart=20&amp;pagesize=80&amp;sortby=pubdate&amp;citation_for_view=8b8IhUYAAAAJ:uWQEDVKXjbEC" r:id="rId25"/>
    <hyperlink xmlns:r="http://schemas.openxmlformats.org/officeDocument/2006/relationships" ref="C64" display="https://arxiv.org/abs/2407.13696" r:id="rId26"/>
    <hyperlink xmlns:r="http://schemas.openxmlformats.org/officeDocument/2006/relationships" ref="C65" display="https://arxiv.org/abs/2407.00066" r:id="rId27"/>
    <hyperlink xmlns:r="http://schemas.openxmlformats.org/officeDocument/2006/relationships" ref="C66" display="https://osf.io/preprints/psyarxiv/rfwgd" r:id="rId28"/>
    <hyperlink xmlns:r="http://schemas.openxmlformats.org/officeDocument/2006/relationships" ref="C67" display="https://openreview.net/forum?id=rcFyU93Oa7&amp;referrer=%5BAuthor%20Console%5D(%2Fgroup%3Fid%3DEMNLP%2F2023%2FConference%2FAuthors%23your-submissions)" r:id="rId29"/>
    <hyperlink xmlns:r="http://schemas.openxmlformats.org/officeDocument/2006/relationships" ref="D69" display="https://scholar.google.com/citations?view_op=view_citation&amp;hl=en&amp;user=8b8IhUYAAAAJ&amp;sortby=pubdate&amp;citation_for_view=8b8IhUYAAAAJ:zA6iFVUQeVQC" r:id="rId30"/>
    <hyperlink xmlns:r="http://schemas.openxmlformats.org/officeDocument/2006/relationships" ref="D70" display="https://scholar.google.com/citations?view_op=view_citation&amp;hl=en&amp;user=8b8IhUYAAAAJ&amp;cstart=20&amp;pagesize=80&amp;citation_for_view=8b8IhUYAAAAJ:j3f4tGmQtD8C" r:id="rId31"/>
    <hyperlink xmlns:r="http://schemas.openxmlformats.org/officeDocument/2006/relationships" ref="D75" display="https://arxiv.org/abs/2407.13696" r:id="rId32"/>
    <hyperlink xmlns:r="http://schemas.openxmlformats.org/officeDocument/2006/relationships" ref="D77" display="https://scholar.google.com/citations?view_op=view_citation&amp;hl=en&amp;user=8b8IhUYAAAAJ&amp;sortby=pubdate&amp;citation_for_view=8b8IhUYAAAAJ:D03iK_w7-QYC" r:id="rId33"/>
    <hyperlink xmlns:r="http://schemas.openxmlformats.org/officeDocument/2006/relationships" ref="D78" display="https://scholar.google.com/citations?view_op=view_citation&amp;hl=en&amp;user=8b8IhUYAAAAJ&amp;cstart=20&amp;pagesize=80&amp;sortby=pubdate&amp;citation_for_view=8b8IhUYAAAAJ:HoB7MX3m0LUC" r:id="rId34"/>
    <hyperlink xmlns:r="http://schemas.openxmlformats.org/officeDocument/2006/relationships" ref="D80" display="https://scholar.google.com/citations?view_op=view_citation&amp;hl=en&amp;user=8b8IhUYAAAAJ&amp;sortby=pubdate&amp;citation_for_view=8b8IhUYAAAAJ:abG-DnoFyZgC" r:id="rId35"/>
    <hyperlink xmlns:r="http://schemas.openxmlformats.org/officeDocument/2006/relationships" ref="D81" display="https://scholar.google.com/citations?view_op=view_citation&amp;hl=en&amp;user=8b8IhUYAAAAJ&amp;sortby=pubdate&amp;citation_for_view=8b8IhUYAAAAJ:xtRiw3GOFMkC" r:id="rId36"/>
    <hyperlink xmlns:r="http://schemas.openxmlformats.org/officeDocument/2006/relationships" ref="D82" display="https://scholar.google.com/citations?view_op=view_citation&amp;hl=en&amp;user=8b8IhUYAAAAJ&amp;sortby=pubdate&amp;citation_for_view=8b8IhUYAAAAJ:1sJd4Hv_s6UC" r:id="rId37"/>
    <hyperlink xmlns:r="http://schemas.openxmlformats.org/officeDocument/2006/relationships" ref="D83" display="https://scholar.google.com/citations?view_op=view_citation&amp;hl=en&amp;user=8b8IhUYAAAAJ&amp;sortby=pubdate&amp;citation_for_view=8b8IhUYAAAAJ:nb7KW1ujOQ8C" r:id="rId38"/>
    <hyperlink xmlns:r="http://schemas.openxmlformats.org/officeDocument/2006/relationships" ref="D84" display="https://scholar.google.com/citations?view_op=view_citation&amp;hl=en&amp;user=8b8IhUYAAAAJ&amp;sortby=pubdate&amp;citation_for_view=8b8IhUYAAAAJ:P5F9QuxV20EC" r:id="rId39"/>
    <hyperlink xmlns:r="http://schemas.openxmlformats.org/officeDocument/2006/relationships" ref="D85" display="https://scholar.google.com/citations?view_op=view_citation&amp;hl=en&amp;user=8b8IhUYAAAAJ&amp;sortby=pubdate&amp;citation_for_view=8b8IhUYAAAAJ:KxtntwgDAa4C" r:id="rId40"/>
    <hyperlink xmlns:r="http://schemas.openxmlformats.org/officeDocument/2006/relationships" ref="D86" display="https://scholar.google.com/citations?view_op=view_citation&amp;hl=en&amp;user=8b8IhUYAAAAJ&amp;sortby=pubdate&amp;citation_for_view=8b8IhUYAAAAJ:dshw04ExmUIC" r:id="rId41"/>
    <hyperlink xmlns:r="http://schemas.openxmlformats.org/officeDocument/2006/relationships" ref="D87" display="https://scholar.google.com/citations?view_op=view_citation&amp;hl=en&amp;user=8b8IhUYAAAAJ&amp;sortby=pubdate&amp;citation_for_view=8b8IhUYAAAAJ:cFHS6HbyZ2cC" r:id="rId42"/>
    <hyperlink xmlns:r="http://schemas.openxmlformats.org/officeDocument/2006/relationships" ref="D88" display="https://scholar.google.com/citations?view_op=view_citation&amp;hl=en&amp;user=8b8IhUYAAAAJ&amp;sortby=pubdate&amp;citation_for_view=8b8IhUYAAAAJ:p2g8aNsByqUC" r:id="rId43"/>
    <hyperlink xmlns:r="http://schemas.openxmlformats.org/officeDocument/2006/relationships" ref="D89" display="https://scholar.google.com/citations?view_op=view_citation&amp;hl=en&amp;user=8b8IhUYAAAAJ&amp;sortby=pubdate&amp;citation_for_view=8b8IhUYAAAAJ:OU6Ihb5iCvQC" r:id="rId44"/>
    <hyperlink xmlns:r="http://schemas.openxmlformats.org/officeDocument/2006/relationships" ref="D91" display="https://scholar.google.com/citations?view_op=view_citation&amp;hl=en&amp;user=8b8IhUYAAAAJ&amp;sortby=pubdate&amp;citation_for_view=8b8IhUYAAAAJ:738O_yMBCRsC" r:id="rId45"/>
    <hyperlink xmlns:r="http://schemas.openxmlformats.org/officeDocument/2006/relationships" ref="D92" display="https://scholar.google.com/citations?view_op=view_citation&amp;hl=en&amp;user=8b8IhUYAAAAJ&amp;sortby=pubdate&amp;citation_for_view=8b8IhUYAAAAJ:K3LRdlH-MEoC" r:id="rId46"/>
    <hyperlink xmlns:r="http://schemas.openxmlformats.org/officeDocument/2006/relationships" ref="C93" display="BabyLM@EMNLP" r:id="rId47"/>
    <hyperlink xmlns:r="http://schemas.openxmlformats.org/officeDocument/2006/relationships" ref="D93" display="https://scholar.google.com/citations?view_op=view_citation&amp;hl=en&amp;user=8b8IhUYAAAAJ&amp;sortby=pubdate&amp;citation_for_view=8b8IhUYAAAAJ:tOudhMTPpwUC" r:id="rId48"/>
    <hyperlink xmlns:r="http://schemas.openxmlformats.org/officeDocument/2006/relationships" ref="D94" display="https://scholar.google.com/citations?view_op=view_citation&amp;hl=en&amp;user=8b8IhUYAAAAJ&amp;sortby=pubdate&amp;citation_for_view=8b8IhUYAAAAJ:4fKUyHm3Qg0C" r:id="rId49"/>
    <hyperlink xmlns:r="http://schemas.openxmlformats.org/officeDocument/2006/relationships" ref="D96" display="https://scholar.google.com/citations?view_op=view_citation&amp;hl=en&amp;user=8b8IhUYAAAAJ&amp;sortby=pubdate&amp;citation_for_view=8b8IhUYAAAAJ:B3FOqHPlNUQC" r:id="rId50"/>
    <hyperlink xmlns:r="http://schemas.openxmlformats.org/officeDocument/2006/relationships" ref="D97" display="https://scholar.google.com/citations?view_op=view_citation&amp;hl=en&amp;user=8b8IhUYAAAAJ&amp;sortby=pubdate&amp;citation_for_view=8b8IhUYAAAAJ:sSrBHYA8nusC" r:id="rId51"/>
    <hyperlink xmlns:r="http://schemas.openxmlformats.org/officeDocument/2006/relationships" ref="D98" display="https://scholar.google.com/citations?view_op=view_citation&amp;hl=en&amp;user=8b8IhUYAAAAJ&amp;sortby=pubdate&amp;citation_for_view=8b8IhUYAAAAJ:5Ul4iDaHHb8C" r:id="rId52"/>
    <hyperlink xmlns:r="http://schemas.openxmlformats.org/officeDocument/2006/relationships" ref="D100" display="https://scholar.google.com/citations?view_op=view_citation&amp;hl=en&amp;user=8b8IhUYAAAAJ&amp;sortby=pubdate&amp;citation_for_view=8b8IhUYAAAAJ:eflP2zaiRacC" r:id="rId53"/>
    <hyperlink xmlns:r="http://schemas.openxmlformats.org/officeDocument/2006/relationships" ref="D102" display="https://scholar.google.com/citations?view_op=view_citation&amp;hl=en&amp;user=8b8IhUYAAAAJ&amp;sortby=pubdate&amp;citation_for_view=8b8IhUYAAAAJ:VOx2b1Wkg3QC" r:id="rId54"/>
    <hyperlink xmlns:r="http://schemas.openxmlformats.org/officeDocument/2006/relationships" ref="D103" display="https://scholar.google.com/citations?view_op=view_citation&amp;hl=en&amp;user=8b8IhUYAAAAJ&amp;sortby=pubdate&amp;citation_for_view=8b8IhUYAAAAJ:BrmTIyaxlBUC" r:id="rId55"/>
    <hyperlink xmlns:r="http://schemas.openxmlformats.org/officeDocument/2006/relationships" ref="D104" display="https://scholar.google.com/citations?view_op=view_citation&amp;hl=en&amp;user=8b8IhUYAAAAJ&amp;sortby=pubdate&amp;citation_for_view=8b8IhUYAAAAJ:eJXPG6dFmWUC" r:id="rId56"/>
    <hyperlink xmlns:r="http://schemas.openxmlformats.org/officeDocument/2006/relationships" ref="D105" display="https://scholar.google.com/citations?view_op=view_citation&amp;hl=en&amp;user=8b8IhUYAAAAJ&amp;sortby=pubdate&amp;citation_for_view=8b8IhUYAAAAJ:olpn-zPbct0C" r:id="rId57"/>
    <hyperlink xmlns:r="http://schemas.openxmlformats.org/officeDocument/2006/relationships" ref="D106" display="https://scholar.google.com/citations?view_op=view_citation&amp;hl=en&amp;user=8b8IhUYAAAAJ&amp;sortby=pubdate&amp;citation_for_view=8b8IhUYAAAAJ:XiVPGOgt02cC" r:id="rId58"/>
    <hyperlink xmlns:r="http://schemas.openxmlformats.org/officeDocument/2006/relationships" ref="D107" display="https://openreview.net/forum?id=U3y1Frmoe1&amp;referrer=%5BAuthor%20Console%5D(%2Fgroup%3Fid%3DNeurIPS.cc%2F2026%2FConference%2FAuthors%23your-submissions)" r:id="rId59"/>
    <hyperlink xmlns:r="http://schemas.openxmlformats.org/officeDocument/2006/relationships" ref="D108" display="https://openreview.net/forum?id=jGvGY7wh7Q&amp;referrer=%5BAuthor%20Console%5D(%2Fgroup%3Fid%3DNeurIPS.cc%2F2026%2FEvaluations_and_Datasets_Track%2FAuthors%23your-submissions)" r:id="rId60"/>
    <hyperlink xmlns:r="http://schemas.openxmlformats.org/officeDocument/2006/relationships" ref="D109" display="https://openreview.net/forum?id=4WI2wAgqbO&amp;referrer=%5BAuthor%20Console%5D(%2Fgroup%3Fid%3DNeurIPS.cc%2F2026%2FEvaluations_and_Datasets_Track%2FAuthors%23your-submissions)" r:id="rId61"/>
    <hyperlink xmlns:r="http://schemas.openxmlformats.org/officeDocument/2006/relationships" ref="D110" display="https://openreview.net/forum?id=oJ2jfLaMhc&amp;referrer=%5BAuthor%20Console%5D(%2Fgroup%3Fid%3DNeurIPS.cc%2F2026%2FEvaluations_and_Datasets_Track%2FAuthors%23your-submissions)" r:id="rId62"/>
    <hyperlink xmlns:r="http://schemas.openxmlformats.org/officeDocument/2006/relationships" ref="D111" display="https://scholar.google.com/citations?view_op=view_citation&amp;hl=en&amp;user=8b8IhUYAAAAJ&amp;sortby=pubdate&amp;citation_for_view=8b8IhUYAAAAJ:eMMeJKvmdy0C" r:id="rId63"/>
    <hyperlink xmlns:r="http://schemas.openxmlformats.org/officeDocument/2006/relationships" ref="D112" display="https://scholar.google.com/citations?view_op=view_citation&amp;hl=en&amp;user=8b8IhUYAAAAJ&amp;sortby=pubdate&amp;citation_for_view=8b8IhUYAAAAJ:HE397vMXCloC" r:id="rId64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LESHEM CHOSHEN</dc:creator>
  <dcterms:created xmlns:dcterms="http://purl.org/dc/terms/" xmlns:xsi="http://www.w3.org/2001/XMLSchema-instance" xsi:type="dcterms:W3CDTF">2024-08-21T02:00:05Z</dcterms:created>
  <dcterms:modified xmlns:dcterms="http://purl.org/dc/terms/" xmlns:xsi="http://www.w3.org/2001/XMLSchema-instance" xsi:type="dcterms:W3CDTF">2026-07-01T19:40:24Z</dcterms:modified>
  <cp:lastModifiedBy>LESHEM CHOSHEN</cp:lastModifiedBy>
</cp:coreProperties>
</file>