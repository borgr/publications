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A2E6D253-99C5-964F-845D-5B52E82B72C5}" xr6:coauthVersionLast="47" xr6:coauthVersionMax="47" xr10:uidLastSave="{00000000-0000-0000-0000-000000000000}"/>
  <bookViews>
    <workbookView xWindow="34560" yWindow="600" windowWidth="38400" windowHeight="2100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2" i="1" l="1"/>
  <c r="AG72" i="1" s="1"/>
  <c r="AH72" i="1"/>
  <c r="AI72" i="1"/>
  <c r="AK72" i="1"/>
  <c r="AF73" i="1"/>
  <c r="AG73" i="1" s="1"/>
  <c r="AH73" i="1"/>
  <c r="AI73" i="1"/>
  <c r="AK73" i="1"/>
  <c r="AF74" i="1"/>
  <c r="AG74" i="1" s="1"/>
  <c r="AH74" i="1"/>
  <c r="AI74" i="1"/>
  <c r="AK74" i="1"/>
  <c r="AF75" i="1"/>
  <c r="AG75" i="1"/>
  <c r="AH75" i="1"/>
  <c r="AI75" i="1"/>
  <c r="AK75" i="1"/>
  <c r="AF76" i="1"/>
  <c r="AG76" i="1" s="1"/>
  <c r="AH76" i="1"/>
  <c r="AI76" i="1"/>
  <c r="AK76" i="1"/>
  <c r="AF77" i="1"/>
  <c r="AG77" i="1" s="1"/>
  <c r="AH77" i="1"/>
  <c r="AI77" i="1"/>
  <c r="AK77" i="1"/>
  <c r="AF78" i="1"/>
  <c r="AG78" i="1" s="1"/>
  <c r="AH78" i="1"/>
  <c r="AI78" i="1"/>
  <c r="AK78" i="1"/>
  <c r="AF79" i="1"/>
  <c r="AG79" i="1"/>
  <c r="AH79" i="1"/>
  <c r="AI79" i="1"/>
  <c r="AK79" i="1"/>
  <c r="AF80" i="1"/>
  <c r="AG80" i="1" s="1"/>
  <c r="AH80" i="1"/>
  <c r="AI80" i="1"/>
  <c r="AK80" i="1"/>
  <c r="AF81" i="1"/>
  <c r="AG81" i="1" s="1"/>
  <c r="AH81" i="1"/>
  <c r="AI81" i="1"/>
  <c r="AK81" i="1"/>
  <c r="AF82" i="1"/>
  <c r="AG82" i="1" s="1"/>
  <c r="AH82" i="1"/>
  <c r="AI82" i="1"/>
  <c r="AK82" i="1"/>
  <c r="AF83" i="1"/>
  <c r="AG83" i="1" s="1"/>
  <c r="AH83" i="1"/>
  <c r="AI83" i="1"/>
  <c r="AK83" i="1"/>
  <c r="AF84" i="1"/>
  <c r="AG84" i="1" s="1"/>
  <c r="AH84" i="1"/>
  <c r="AI84" i="1"/>
  <c r="AK84" i="1"/>
  <c r="AF85" i="1"/>
  <c r="AG85" i="1" s="1"/>
  <c r="AH85" i="1"/>
  <c r="AI85" i="1"/>
  <c r="AK85" i="1"/>
  <c r="AF86" i="1"/>
  <c r="AG86" i="1" s="1"/>
  <c r="AH86" i="1"/>
  <c r="AI86" i="1"/>
  <c r="AK86" i="1"/>
  <c r="AF87" i="1"/>
  <c r="AG87" i="1"/>
  <c r="AH87" i="1"/>
  <c r="AI87" i="1"/>
  <c r="AK87" i="1"/>
  <c r="AF88" i="1"/>
  <c r="AG88" i="1" s="1"/>
  <c r="AH88" i="1"/>
  <c r="AI88" i="1"/>
  <c r="AK88" i="1"/>
  <c r="AF89" i="1"/>
  <c r="AG89" i="1" s="1"/>
  <c r="AH89" i="1"/>
  <c r="AI89" i="1"/>
  <c r="AK89" i="1"/>
  <c r="AF90" i="1"/>
  <c r="AG90" i="1" s="1"/>
  <c r="AH90" i="1"/>
  <c r="AI90" i="1"/>
  <c r="AK90" i="1"/>
  <c r="AF91" i="1"/>
  <c r="AG91" i="1" s="1"/>
  <c r="AH91" i="1"/>
  <c r="AI91" i="1"/>
  <c r="AK91" i="1"/>
  <c r="AF92" i="1"/>
  <c r="AG92" i="1" s="1"/>
  <c r="AH92" i="1"/>
  <c r="AI92" i="1"/>
  <c r="AK92" i="1"/>
  <c r="AF93" i="1"/>
  <c r="AG93" i="1" s="1"/>
  <c r="AH93" i="1"/>
  <c r="AI93" i="1"/>
  <c r="AK93" i="1"/>
  <c r="AF94" i="1"/>
  <c r="AG94" i="1" s="1"/>
  <c r="AH94" i="1"/>
  <c r="AI94" i="1"/>
  <c r="AK94" i="1"/>
  <c r="AF95" i="1"/>
  <c r="AG95" i="1"/>
  <c r="AH95" i="1"/>
  <c r="AI95" i="1"/>
  <c r="AK95" i="1"/>
  <c r="AF96" i="1"/>
  <c r="AG96" i="1" s="1"/>
  <c r="AH96" i="1"/>
  <c r="AI96" i="1"/>
  <c r="AK96" i="1"/>
  <c r="AF97" i="1"/>
  <c r="AG97" i="1"/>
  <c r="AH97" i="1"/>
  <c r="AI97" i="1"/>
  <c r="AK97" i="1"/>
  <c r="AF98" i="1"/>
  <c r="AG98" i="1" s="1"/>
  <c r="AH98" i="1"/>
  <c r="AI98" i="1"/>
  <c r="AK98" i="1"/>
  <c r="B14" i="1" a="1"/>
  <c r="B14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/>
  <c r="B117" i="1" a="1"/>
  <c r="B117" i="1" s="1"/>
  <c r="B118" i="1" a="1"/>
  <c r="B118" i="1" s="1"/>
  <c r="B119" i="1" a="1"/>
  <c r="B119" i="1" s="1"/>
  <c r="B120" i="1" a="1"/>
  <c r="B120" i="1"/>
  <c r="B121" i="1" a="1"/>
  <c r="B121" i="1"/>
  <c r="B122" i="1" a="1"/>
  <c r="B122" i="1" s="1"/>
  <c r="B123" i="1" a="1"/>
  <c r="B123" i="1" s="1"/>
  <c r="B124" i="1" a="1"/>
  <c r="B124" i="1" s="1"/>
  <c r="B125" i="1" a="1"/>
  <c r="B125" i="1"/>
  <c r="B126" i="1" a="1"/>
  <c r="B126" i="1" s="1"/>
  <c r="B127" i="1" a="1"/>
  <c r="B127" i="1" s="1"/>
  <c r="B16" i="1" a="1"/>
  <c r="B16" i="1" s="1"/>
  <c r="B17" i="1" a="1"/>
  <c r="B17" i="1" s="1"/>
  <c r="B18" i="1" a="1"/>
  <c r="B18" i="1" s="1"/>
  <c r="B19" i="1" a="1"/>
  <c r="B19" i="1" s="1"/>
  <c r="B28" i="1" a="1"/>
  <c r="B28" i="1"/>
  <c r="B29" i="1" a="1"/>
  <c r="B29" i="1" s="1"/>
  <c r="B30" i="1" a="1"/>
  <c r="B30" i="1" s="1"/>
  <c r="B31" i="1" a="1"/>
  <c r="B31" i="1" s="1"/>
  <c r="B32" i="1" a="1"/>
  <c r="B32" i="1"/>
  <c r="B33" i="1" a="1"/>
  <c r="B33" i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6" i="1" a="1"/>
  <c r="B76" i="1" s="1"/>
  <c r="B77" i="1" a="1"/>
  <c r="B77" i="1" s="1"/>
  <c r="B78" i="1" a="1"/>
  <c r="B78" i="1" s="1"/>
  <c r="B79" i="1" a="1"/>
  <c r="B79" i="1" s="1"/>
  <c r="B81" i="1" a="1"/>
  <c r="B81" i="1" s="1"/>
  <c r="B82" i="1" a="1"/>
  <c r="B82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2" i="1" a="1"/>
  <c r="B2" i="1" s="1"/>
  <c r="B3" i="1" a="1"/>
  <c r="B3" i="1" s="1"/>
  <c r="B4" i="1" a="1"/>
  <c r="B4" i="1" s="1"/>
  <c r="B5" i="1" a="1"/>
  <c r="B5" i="1" s="1"/>
  <c r="B6" i="1" a="1"/>
  <c r="B6" i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5" i="1" a="1"/>
  <c r="B15" i="1" s="1"/>
  <c r="AK71" i="1"/>
  <c r="AI71" i="1"/>
  <c r="AH71" i="1"/>
  <c r="AF71" i="1"/>
  <c r="AG71" i="1" s="1"/>
  <c r="AE71" i="1"/>
  <c r="A3" i="1"/>
  <c r="A4" i="1" s="1"/>
  <c r="AE75" i="1"/>
  <c r="Y137" i="1"/>
  <c r="AE79" i="1"/>
  <c r="W137" i="1"/>
  <c r="AH137" i="1" s="1"/>
  <c r="T137" i="1"/>
  <c r="O137" i="1"/>
  <c r="H137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7" i="1"/>
  <c r="J137" i="1"/>
  <c r="K137" i="1"/>
  <c r="L137" i="1"/>
  <c r="M137" i="1"/>
  <c r="N137" i="1"/>
  <c r="AE74" i="1"/>
  <c r="AE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E77" i="1"/>
  <c r="AE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8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8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7" i="1"/>
  <c r="Q137" i="1"/>
  <c r="R137" i="1"/>
  <c r="S137" i="1"/>
  <c r="U137" i="1"/>
  <c r="V137" i="1"/>
  <c r="X137" i="1"/>
  <c r="AI137" i="1"/>
  <c r="Z137" i="1"/>
  <c r="AA137" i="1"/>
  <c r="A3" i="2" l="1"/>
  <c r="A3" i="3"/>
  <c r="A5" i="1"/>
  <c r="A6" i="1" s="1"/>
  <c r="A4" i="3"/>
  <c r="A4" i="2"/>
  <c r="M4" i="3" s="1"/>
  <c r="AF137" i="1"/>
  <c r="AG137" i="1" s="1"/>
  <c r="AE137" i="1"/>
  <c r="AJ137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8" i="1"/>
  <c r="AD137" i="1"/>
  <c r="K138" i="1" l="1"/>
  <c r="V138" i="1"/>
  <c r="J138" i="1"/>
  <c r="N138" i="1"/>
  <c r="O138" i="1"/>
  <c r="R138" i="1"/>
  <c r="AA138" i="1"/>
  <c r="Q138" i="1"/>
  <c r="X138" i="1"/>
  <c r="Z138" i="1"/>
  <c r="Y138" i="1"/>
  <c r="AI138" i="1" s="1"/>
  <c r="P138" i="1"/>
  <c r="S138" i="1"/>
  <c r="W138" i="1"/>
  <c r="AH138" i="1" s="1"/>
  <c r="I138" i="1"/>
  <c r="U138" i="1"/>
  <c r="L138" i="1"/>
  <c r="H138" i="1"/>
  <c r="M138" i="1"/>
  <c r="T138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<sst xmlns="http://schemas.openxmlformats.org/spreadsheetml/2006/main" count="412" uniqueCount="374">
  <si>
    <t xml:space="preserve">EMNLP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</si>
  <si>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</si>
  <si>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</si>
  <si>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</si>
  <si>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</si>
  <si>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</si>
  <si>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</si>
  <si>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</si>
  <si>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</si>
  <si>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</si>
  <si>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</si>
  <si>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</si>
  <si>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</si>
  <si>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</si>
  <si>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</si>
  <si>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</si>
  <si>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</si>
  <si>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</si>
  <si>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</si>
  <si>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</si>
  <si>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</si>
  <si>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</si>
  <si>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</si>
  <si>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</si>
  <si>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</si>
  <si>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</si>
  <si>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</si>
  <si>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</si>
  <si>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</si>
  <si>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</si>
  <si>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</si>
  <si>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</si>
  <si>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</si>
  <si>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</si>
  <si>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</si>
  <si>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</si>
  <si>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</si>
  <si>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</si>
  <si>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</si>
  <si>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</si>
  <si>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</si>
  <si>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</si>
  <si>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</si>
  <si>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</si>
  <si>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</si>
  <si>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</si>
  <si>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</si>
  <si>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</si>
  <si>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</si>
  <si>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</si>
  <si>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</si>
  <si>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</si>
  <si>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</si>
  <si>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</si>
  <si>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Learning from Naturally Occurring Feedback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</si>
  <si>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</si>
  <si>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</si>
  <si>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</si>
  <si>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</si>
  <si>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</si>
  <si>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</si>
  <si>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</si>
  <si>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</si>
  <si>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</si>
  <si>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</si>
  <si>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</si>
  <si>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</si>
  <si>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</si>
  <si>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</si>
  <si>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</si>
  <si>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</si>
  <si>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</si>
  <si>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</si>
  <si>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</si>
  <si>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</si>
  <si>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</si>
  <si>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</si>
  <si>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</si>
  <si>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</si>
  <si>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</si>
  <si>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</si>
  <si>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</si>
  <si>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</si>
  <si>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</si>
  <si>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</si>
  <si>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</si>
  <si>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</si>
  <si>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</si>
  <si>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</si>
  <si>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</si>
  <si>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</si>
  <si>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</si>
  <si>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</si>
  <si>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</si>
  <si>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</si>
  <si>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</si>
  <si>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</si>
  <si>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</si>
  <si>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</si>
  <si>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</si>
  <si>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</si>
  <si>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</si>
  <si>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</si>
  <si>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</si>
  <si>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</si>
  <si>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</si>
  <si>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</si>
  <si>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</si>
  <si>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</si>
  <si>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</si>
  <si>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</si>
  <si>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</si>
  <si>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</si>
  <si>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</si>
  <si>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</si>
  <si>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</si>
  <si>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</si>
  <si>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</si>
  <si>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</si>
  <si>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</si>
  <si>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</si>
  <si>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</si>
  <si>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</si>
  <si>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</si>
  <si>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</si>
  <si>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</si>
  <si>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</si>
  <si>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</si>
  <si>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</si>
  <si>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</si>
  <si>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</si>
  <si>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</si>
  <si>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</si>
  <si>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</si>
  <si>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</si>
  <si>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</si>
  <si>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</si>
  <si>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</si>
  <si>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</si>
  <si>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</si>
  <si>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</si>
  <si>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</si>
  <si>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</si>
  <si>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</si>
  <si>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</si>
  <si>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</si>
  <si>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</si>
  <si>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</si>
  <si>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</si>
  <si>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</si>
  <si>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</si>
  <si>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</si>
  <si>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</si>
  <si>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</si>
  <si>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</si>
  <si>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</si>
  <si>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</si>
  <si>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</si>
  <si>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</si>
  <si>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</si>
  <si>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</si>
  <si>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</si>
  <si>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</si>
  <si>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</si>
  <si>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</si>
  <si>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</si>
  <si>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</si>
  <si>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</si>
  <si>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</si>
  <si>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</si>
  <si>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</si>
  <si>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</si>
  <si>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</si>
  <si>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</si>
  <si>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</si>
  <si>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</si>
  <si>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</si>
  <si>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</si>
  <si>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</si>
  <si>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</si>
  <si>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</si>
  <si>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</si>
  <si>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</si>
  <si>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</si>
  <si>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</si>
  <si>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</si>
  <si>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</si>
  <si>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</si>
  <si>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</si>
  <si>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</si>
  <si>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</si>
  <si>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</si>
  <si>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</si>
  <si>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</si>
  <si>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</si>
  <si>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</si>
  <si>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</si>
  <si>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</si>
  <si>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</si>
  <si>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</si>
  <si>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</si>
  <si>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</si>
  <si>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</si>
  <si>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</si>
  <si>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</si>
  <si>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</si>
  <si>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</si>
  <si>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</si>
  <si>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</si>
  <si>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</si>
  <si>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</si>
  <si>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</si>
  <si>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</si>
  <si>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</si>
  <si>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</si>
  <si>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</si>
  <si>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</si>
  <si>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</si>
  <si>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</si>
  <si>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</si>
  <si>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</si>
  <si>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</si>
  <si>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</si>
  <si>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</si>
  <si>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</si>
  <si>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</si>
  <si>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</si>
  <si>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</si>
  <si>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</si>
  <si>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</si>
  <si>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</si>
  <si>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</si>
  <si>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</si>
  <si>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</si>
  <si>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</si>
  <si>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</si>
  <si>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</si>
  <si>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</si>
  <si>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</si>
  <si>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</si>
  <si>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</si>
  <si>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</si>
  <si>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</si>
  <si>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</si>
  <si>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</si>
  <si>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</si>
  <si>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</si>
  <si>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</si>
  <si>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</si>
  <si>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</si>
  <si>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</si>
  <si>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</si>
  <si>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</si>
  <si>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</si>
  <si>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</si>
  <si>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</si>
  <si>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</si>
  <si>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</si>
  <si>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</si>
  <si>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</si>
  <si>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</si>
  <si>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</si>
  <si>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</si>
  <si>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</si>
  <si>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</si>
  <si>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</si>
  <si>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</si>
  <si>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</si>
  <si>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</si>
  <si>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</si>
  <si>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</si>
  <si>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</si>
  <si>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</si>
  <si>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</si>
  <si>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</si>
  <si>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</si>
  <si>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</si>
  <si>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</si>
  <si>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</si>
  <si>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</si>
  <si>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</si>
  <si>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</si>
  <si>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</si>
  <si>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</si>
  <si>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</si>
  <si>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</si>
  <si>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</si>
  <si>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</si>
  <si>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</si>
  <si>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</si>
  <si>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</si>
  <si>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</si>
  <si>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</si>
  <si>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Review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</si>
  <si>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</si>
  <si>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</si>
  <si>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</si>
  <si>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</si>
  <si>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</si>
  <si>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</si>
  <si>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</si>
  <si>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</si>
  <si>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</si>
  <si>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</si>
  <si>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</si>
  <si>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</si>
  <si>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</si>
  <si>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</si>
  <si>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</si>
  <si>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</si>
  <si>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</si>
  <si>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</si>
  <si>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</si>
  <si>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</si>
  <si>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</si>
  <si>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</si>
  <si>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</si>
  <si>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</si>
  <si>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</si>
  <si>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</si>
  <si>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</si>
  <si>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</si>
  <si>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</si>
  <si>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</si>
  <si>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</si>
  <si>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</si>
  <si>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</si>
  <si>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</si>
  <si>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</si>
  <si>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</si>
  <si>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</si>
  <si>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</si>
  <si>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</si>
  <si>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</si>
  <si>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</si>
  <si>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</si>
  <si>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</si>
  <si>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JML</t>
  </si>
  <si>
    <t>zipnn</t>
  </si>
  <si>
    <t>CRISP: Complex Reasoning with Interpretable Step-based Plans</t>
  </si>
  <si>
    <t>Beyond binary rewards: Training lms to reason about their uncertainty</t>
  </si>
  <si>
    <t xml:space="preserve">Nature Machine Intelligence^ </t>
  </si>
  <si>
    <t>ArXiv</t>
  </si>
  <si>
    <t>CLOUD (IEEE)</t>
  </si>
  <si>
    <t>ashurytahan2025mightytorrbenchmarktable</t>
  </si>
  <si>
    <t>EACL</t>
  </si>
  <si>
    <t>damani2026beyond</t>
  </si>
  <si>
    <t>vetzler2025crisp</t>
  </si>
  <si>
    <t>BabyBabelLM: A Multilingual Benchmark of Developmentally Plausible Training Data</t>
  </si>
  <si>
    <t>Need to update bib when anthology has it (currently manual</t>
  </si>
  <si>
    <t>Global piqa: Evaluating physical commonsense reasoning across 100+ languages and cultures</t>
  </si>
  <si>
    <t>chang2025globalpiqaevaluatingphysical</t>
  </si>
  <si>
    <t>jumelet2025babybabellm</t>
  </si>
  <si>
    <t>Findings of the Third BabyLM Challenge: Accelerating Language Modeling Research with Cognitively Plausible Data</t>
  </si>
  <si>
    <t>charpentier-etal-2025-findings</t>
  </si>
  <si>
    <t xml:space="preserve">TMLR </t>
  </si>
  <si>
    <t>A Latent Variable Framework for Scaling Laws in Large Language Models</t>
  </si>
  <si>
    <t>suarez2026commonlid</t>
  </si>
  <si>
    <t>CommonLID: Re-evaluating State-of-the-Art Language Identification Performance on Web Data</t>
  </si>
  <si>
    <t>Will it Merge? On The Causes of Model Mergeability</t>
  </si>
  <si>
    <t>rahamim2026will</t>
  </si>
  <si>
    <t>ErrorMap and ErrorAtlas: Charting the Failure Landscape of Large Language Models</t>
  </si>
  <si>
    <t>Robustness as an Emergent Property of Task Performance</t>
  </si>
  <si>
    <t>ashury2026robustness</t>
  </si>
  <si>
    <t>ashury2026errormap</t>
  </si>
  <si>
    <t>tam2024llm</t>
  </si>
  <si>
    <t>wilcox2024bigger</t>
  </si>
  <si>
    <t>singh2024global</t>
  </si>
  <si>
    <t>General Agent Evaluation</t>
  </si>
  <si>
    <t>When AI Benchmarks Plateau: A Systematic Study of Benchmark Saturation</t>
  </si>
  <si>
    <t>akhtar2026aibenchmarksplateausystematic</t>
  </si>
  <si>
    <t>bandel2026generalagentevaluation</t>
  </si>
  <si>
    <t>Position: Agentic Systems Should be General</t>
  </si>
  <si>
    <t>bandel2026agentic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</si>
</sst>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  <font>
      <sz val="28"/>
      <color rgb="FF222222"/>
      <name val="NexusSerifWeb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wrapText="1"/>
    </xf>
    <xf numFmtId="0" fontId="1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26" Type="http://schemas.openxmlformats.org/officeDocument/2006/relationships/hyperlink" Target="https://openreview.net/profile?email=leshem.choshen%40mail.huji.ac.il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47" Type="http://schemas.openxmlformats.org/officeDocument/2006/relationships/hyperlink" Target="mailto:BabyLM@EMNLP" TargetMode="External"/><Relationship Id="rId50" Type="http://schemas.openxmlformats.org/officeDocument/2006/relationships/hyperlink" Target="https://scholar.google.com/citations?view_op=view_citation&amp;hl=en&amp;user=8b8IhUYAAAAJ&amp;sortby=pubdate&amp;citation_for_view=8b8IhUYAAAAJ:sSrBHYA8nusC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9" Type="http://schemas.openxmlformats.org/officeDocument/2006/relationships/hyperlink" Target="https://arxiv.org/abs/2407.13696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45" Type="http://schemas.openxmlformats.org/officeDocument/2006/relationships/hyperlink" Target="https://scholar.google.com/citations?view_op=view_citation&amp;hl=en&amp;user=8b8IhUYAAAAJ&amp;sortby=pubdate&amp;citation_for_view=8b8IhUYAAAAJ:K3LRdlH-MEoC" TargetMode="External"/><Relationship Id="rId53" Type="http://schemas.openxmlformats.org/officeDocument/2006/relationships/hyperlink" Target="https://scholar.google.com/citations?view_op=view_citation&amp;hl=en&amp;user=8b8IhUYAAAAJ&amp;sortby=pubdate&amp;citation_for_view=8b8IhUYAAAAJ:VOx2b1Wkg3QC" TargetMode="External"/><Relationship Id="rId5" Type="http://schemas.openxmlformats.org/officeDocument/2006/relationships/hyperlink" Target="https://arxiv.org/abs/2407.10944" TargetMode="External"/><Relationship Id="rId10" Type="http://schemas.openxmlformats.org/officeDocument/2006/relationships/hyperlink" Target="https://arxiv.org/abs/2404.00459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4" Type="http://schemas.openxmlformats.org/officeDocument/2006/relationships/hyperlink" Target="https://scholar.google.com/citations?view_op=view_citation&amp;hl=en&amp;user=8b8IhUYAAAAJ&amp;sortby=pubdate&amp;citation_for_view=8b8IhUYAAAAJ:738O_yMBCRsC" TargetMode="External"/><Relationship Id="rId52" Type="http://schemas.openxmlformats.org/officeDocument/2006/relationships/hyperlink" Target="https://scholar.google.com/citations?view_op=view_citation&amp;hl=en&amp;user=8b8IhUYAAAAJ&amp;sortby=pubdate&amp;citation_for_view=8b8IhUYAAAAJ:eflP2zaiRac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48" Type="http://schemas.openxmlformats.org/officeDocument/2006/relationships/hyperlink" Target="https://scholar.google.com/citations?view_op=view_citation&amp;hl=en&amp;user=8b8IhUYAAAAJ&amp;sortby=pubdate&amp;citation_for_view=8b8IhUYAAAAJ:4fKUyHm3Qg0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51" Type="http://schemas.openxmlformats.org/officeDocument/2006/relationships/hyperlink" Target="https://scholar.google.com/citations?view_op=view_citation&amp;hl=en&amp;user=8b8IhUYAAAAJ&amp;sortby=pubdate&amp;citation_for_view=8b8IhUYAAAAJ:5Ul4iDaHHb8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Relationship Id="rId46" Type="http://schemas.openxmlformats.org/officeDocument/2006/relationships/hyperlink" Target="https://scholar.google.com/citations?view_op=view_citation&amp;hl=en&amp;user=8b8IhUYAAAAJ&amp;sortby=pubdate&amp;citation_for_view=8b8IhUYAAAAJ:tOudhMTPpwUC" TargetMode="External"/><Relationship Id="rId20" Type="http://schemas.openxmlformats.org/officeDocument/2006/relationships/hyperlink" Target="https://arxiv.org/abs/2407.21530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49" Type="http://schemas.openxmlformats.org/officeDocument/2006/relationships/hyperlink" Target="https://scholar.google.com/citations?view_op=view_citation&amp;hl=en&amp;user=8b8IhUYAAAAJ&amp;sortby=pubdate&amp;citation_for_view=8b8IhUYAAAAJ:B3FOqHPlNUQ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8"/>
  <sheetViews>
    <sheetView tabSelected="1" topLeftCell="B1" workbookViewId="0">
      <pane ySplit="1" topLeftCell="A64" activePane="bottomLeft" state="frozen"/>
      <selection pane="bottomLeft" activeCell="P75" sqref="P75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3" max="13" width="20.33203125" customWidth="1"/>
    <col min="14" max="15" width="14" customWidth="1"/>
    <col min="16" max="16" width="15" customWidth="1"/>
    <col min="21" max="21" width="10.5" customWidth="1"/>
    <col min="22" max="22" width="13.6640625" customWidth="1"/>
    <col min="25" max="25" width="10.6640625" customWidth="1"/>
  </cols>
  <sheetData>
    <row r="1" spans="1:37" s="15" customFormat="1" ht="51">
      <c r="A1" s="15" t="s">
        <v>182</v>
      </c>
      <c r="B1" s="15" t="s">
        <v>328</v>
      </c>
      <c r="C1" s="15" t="s">
        <v>289</v>
      </c>
      <c r="D1" s="15" t="s">
        <v>131</v>
      </c>
      <c r="E1" s="15" t="s">
        <v>247</v>
      </c>
      <c r="F1" s="15" t="s">
        <v>132</v>
      </c>
      <c r="G1" s="15" t="s">
        <v>130</v>
      </c>
      <c r="H1" s="15" t="s">
        <v>259</v>
      </c>
      <c r="I1" s="15" t="s">
        <v>288</v>
      </c>
      <c r="J1" s="15" t="s">
        <v>287</v>
      </c>
      <c r="K1" s="15" t="s">
        <v>284</v>
      </c>
      <c r="L1" s="15" t="s">
        <v>283</v>
      </c>
      <c r="M1" s="15" t="s">
        <v>286</v>
      </c>
      <c r="N1" s="15" t="s">
        <v>285</v>
      </c>
      <c r="O1" s="15" t="s">
        <v>261</v>
      </c>
      <c r="P1" s="15" t="s">
        <v>263</v>
      </c>
      <c r="Q1" s="15" t="s">
        <v>260</v>
      </c>
      <c r="R1" s="15" t="s">
        <v>156</v>
      </c>
      <c r="S1" s="15" t="s">
        <v>171</v>
      </c>
      <c r="T1" s="15" t="s">
        <v>157</v>
      </c>
      <c r="U1" s="15" t="s">
        <v>158</v>
      </c>
      <c r="V1" s="15" t="s">
        <v>262</v>
      </c>
      <c r="W1" s="15" t="s">
        <v>159</v>
      </c>
      <c r="X1" s="15" t="s">
        <v>160</v>
      </c>
      <c r="Y1" s="15" t="s">
        <v>258</v>
      </c>
      <c r="Z1" s="15" t="s">
        <v>164</v>
      </c>
      <c r="AA1" s="15" t="s">
        <v>161</v>
      </c>
      <c r="AB1" s="15" t="s">
        <v>294</v>
      </c>
      <c r="AC1" s="15" t="s">
        <v>293</v>
      </c>
      <c r="AD1" s="15" t="s">
        <v>181</v>
      </c>
      <c r="AE1" s="15" t="s">
        <v>257</v>
      </c>
      <c r="AF1" s="15" t="s">
        <v>248</v>
      </c>
      <c r="AG1" s="15" t="s">
        <v>248</v>
      </c>
      <c r="AH1" s="15" t="s">
        <v>249</v>
      </c>
      <c r="AI1" s="15" t="s">
        <v>250</v>
      </c>
      <c r="AJ1" s="15" t="s">
        <v>257</v>
      </c>
      <c r="AK1" s="15" t="s">
        <v>290</v>
      </c>
    </row>
    <row r="2" spans="1:37">
      <c r="A2">
        <v>1</v>
      </c>
      <c r="B2" t="str" cm="1">
        <f t="array" ref="B2">_xlfn.IFS(ISBLANK(D2),"",ISBLANK(C2),"no venue",ISBLANK(E2),"no bib",ISNUMBER(SEARCH("xiv", C2)),"arxiv",SUM(I2:AA2)&lt;3,"no categories",TRUE,"")</f>
        <v/>
      </c>
      <c r="C2" s="1" t="s">
        <v>47</v>
      </c>
      <c r="D2" t="s">
        <v>48</v>
      </c>
      <c r="E2" t="s">
        <v>239</v>
      </c>
      <c r="F2" t="s">
        <v>128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C3)),"arxiv",SUM(I3:AA3)&lt;3,"no categories",TRUE,"")</f>
        <v/>
      </c>
      <c r="C3" s="1" t="s">
        <v>126</v>
      </c>
      <c r="D3" s="5" t="s">
        <v>127</v>
      </c>
      <c r="E3" t="s">
        <v>238</v>
      </c>
      <c r="F3" t="s">
        <v>112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C4)),"arxiv",SUM(I4:AA4)&lt;3,"no categories",TRUE,"")</f>
        <v/>
      </c>
      <c r="C4" s="1" t="s">
        <v>46</v>
      </c>
      <c r="D4" t="s">
        <v>124</v>
      </c>
      <c r="E4" t="s">
        <v>206</v>
      </c>
      <c r="F4" t="s">
        <v>125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C5)),"arxiv",SUM(I5:AA5)&lt;3,"no categories",TRUE,"")</f>
        <v/>
      </c>
      <c r="C5" s="1" t="s">
        <v>45</v>
      </c>
      <c r="D5" t="s">
        <v>123</v>
      </c>
      <c r="E5" t="s">
        <v>237</v>
      </c>
      <c r="F5" t="s">
        <v>112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C6)),"arxiv",SUM(I6:AA6)&lt;3,"no categories",TRUE,"")</f>
        <v/>
      </c>
      <c r="C6" s="1" t="s">
        <v>44</v>
      </c>
      <c r="D6" t="s">
        <v>122</v>
      </c>
      <c r="E6" t="s">
        <v>236</v>
      </c>
      <c r="F6" t="s">
        <v>112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C7)),"arxiv",SUM(I7:AA7)&lt;3,"no categories",TRUE,"")</f>
        <v/>
      </c>
      <c r="C7" s="1" t="s">
        <v>43</v>
      </c>
      <c r="D7" t="s">
        <v>121</v>
      </c>
      <c r="E7" t="s">
        <v>235</v>
      </c>
      <c r="F7" t="s">
        <v>120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C8)),"arxiv",SUM(I8:AA8)&lt;3,"no categories",TRUE,"")</f>
        <v/>
      </c>
      <c r="C8" s="1" t="s">
        <v>42</v>
      </c>
      <c r="D8" t="s">
        <v>118</v>
      </c>
      <c r="E8" t="s">
        <v>234</v>
      </c>
      <c r="F8" t="s">
        <v>119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C9)),"arxiv",SUM(I9:AA9)&lt;3,"no categories",TRUE,"")</f>
        <v/>
      </c>
      <c r="C9" s="1" t="s">
        <v>41</v>
      </c>
      <c r="D9" t="s">
        <v>116</v>
      </c>
      <c r="E9" t="s">
        <v>233</v>
      </c>
      <c r="F9" t="s">
        <v>117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C10)),"arxiv",SUM(I10:AA10)&lt;3,"no categories",TRUE,"")</f>
        <v/>
      </c>
      <c r="C10" s="1" t="s">
        <v>40</v>
      </c>
      <c r="D10" t="s">
        <v>114</v>
      </c>
      <c r="E10" t="s">
        <v>232</v>
      </c>
      <c r="F10" t="s">
        <v>115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C11)),"arxiv",SUM(I11:AA11)&lt;3,"no categories",TRUE,"")</f>
        <v/>
      </c>
      <c r="C11" s="1" t="s">
        <v>39</v>
      </c>
      <c r="D11" t="s">
        <v>113</v>
      </c>
      <c r="E11" t="s">
        <v>231</v>
      </c>
      <c r="F11" t="s">
        <v>112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C12)),"arxiv",SUM(I12:AA12)&lt;3,"no categories",TRUE,"")</f>
        <v/>
      </c>
      <c r="C12" s="1" t="s">
        <v>38</v>
      </c>
      <c r="D12" t="s">
        <v>110</v>
      </c>
      <c r="E12" t="s">
        <v>230</v>
      </c>
      <c r="F12" t="s">
        <v>111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C13)),"arxiv",SUM(I13:AA13)&lt;3,"no categories",TRUE,"")</f>
        <v/>
      </c>
      <c r="C13" s="1" t="s">
        <v>37</v>
      </c>
      <c r="D13" t="s">
        <v>146</v>
      </c>
      <c r="E13" t="s">
        <v>229</v>
      </c>
      <c r="F13" t="s">
        <v>147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C14)),"arxiv",SUM(I14:AA14)&lt;2,"no categories",TRUE,"")</f>
        <v/>
      </c>
      <c r="C14" s="2" t="s">
        <v>36</v>
      </c>
      <c r="D14" t="s">
        <v>144</v>
      </c>
      <c r="E14" t="s">
        <v>205</v>
      </c>
      <c r="F14" t="s">
        <v>145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C15)),"arxiv",SUM(I15:AA15)&lt;3,"no categories",TRUE,"")</f>
        <v/>
      </c>
      <c r="C15" s="1" t="s">
        <v>35</v>
      </c>
      <c r="D15" t="s">
        <v>142</v>
      </c>
      <c r="E15" t="s">
        <v>228</v>
      </c>
      <c r="F15" t="s">
        <v>143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C16)),"arxiv",SUM(I16:AA16)&lt;3,"no categories",TRUE,"")</f>
        <v/>
      </c>
      <c r="C16" s="1" t="s">
        <v>34</v>
      </c>
      <c r="D16" t="s">
        <v>140</v>
      </c>
      <c r="E16" t="s">
        <v>227</v>
      </c>
      <c r="F16" t="s">
        <v>141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C17)),"arxiv",SUM(I17:AA17)&lt;3,"no categories",TRUE,"")</f>
        <v/>
      </c>
      <c r="C17" s="1" t="s">
        <v>33</v>
      </c>
      <c r="D17" t="s">
        <v>138</v>
      </c>
      <c r="E17" t="s">
        <v>204</v>
      </c>
      <c r="F17" t="s">
        <v>139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C18)),"arxiv",SUM(I18:AA18)&lt;3,"no categories",TRUE,"")</f>
        <v/>
      </c>
      <c r="C18" s="3" t="s">
        <v>32</v>
      </c>
      <c r="D18" t="s">
        <v>137</v>
      </c>
      <c r="E18" t="s">
        <v>203</v>
      </c>
      <c r="F18" t="s">
        <v>109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C19)),"arxiv",SUM(I19:AA19)&lt;3,"no categories",TRUE,"")</f>
        <v/>
      </c>
      <c r="C19" s="1" t="s">
        <v>31</v>
      </c>
      <c r="D19" t="s">
        <v>93</v>
      </c>
      <c r="E19" t="s">
        <v>226</v>
      </c>
      <c r="F19" t="s">
        <v>94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30</v>
      </c>
      <c r="D20" t="s">
        <v>91</v>
      </c>
      <c r="E20" t="s">
        <v>202</v>
      </c>
      <c r="F20" t="s">
        <v>92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29</v>
      </c>
      <c r="D21" t="s">
        <v>136</v>
      </c>
      <c r="E21" t="s">
        <v>225</v>
      </c>
      <c r="F21" t="s">
        <v>108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28</v>
      </c>
      <c r="D22" t="s">
        <v>89</v>
      </c>
      <c r="E22" t="s">
        <v>201</v>
      </c>
      <c r="F22" t="s">
        <v>90</v>
      </c>
      <c r="G22">
        <v>2022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28</v>
      </c>
      <c r="D23" t="s">
        <v>87</v>
      </c>
      <c r="E23" t="s">
        <v>200</v>
      </c>
      <c r="F23" t="s">
        <v>88</v>
      </c>
      <c r="G23">
        <v>2022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27</v>
      </c>
      <c r="D24" t="s">
        <v>85</v>
      </c>
      <c r="E24" t="s">
        <v>240</v>
      </c>
      <c r="F24" t="s">
        <v>86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26</v>
      </c>
      <c r="D25" t="s">
        <v>135</v>
      </c>
      <c r="E25" t="s">
        <v>224</v>
      </c>
      <c r="F25" t="s">
        <v>107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25</v>
      </c>
      <c r="D26" t="s">
        <v>134</v>
      </c>
      <c r="E26" t="s">
        <v>223</v>
      </c>
      <c r="F26" t="s">
        <v>106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24</v>
      </c>
      <c r="D27" t="s">
        <v>83</v>
      </c>
      <c r="E27" t="s">
        <v>199</v>
      </c>
      <c r="F27" t="s">
        <v>84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C28)),"arxiv",SUM(I28:AA28)&lt;3,"no categories",TRUE,"")</f>
        <v/>
      </c>
      <c r="C28" s="1" t="s">
        <v>23</v>
      </c>
      <c r="D28" t="s">
        <v>81</v>
      </c>
      <c r="E28" t="s">
        <v>222</v>
      </c>
      <c r="F28" t="s">
        <v>82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C29)),"arxiv",SUM(I29:AA29)&lt;3,"no categories",TRUE,"")</f>
        <v/>
      </c>
      <c r="C29" s="1" t="s">
        <v>22</v>
      </c>
      <c r="D29" t="s">
        <v>133</v>
      </c>
      <c r="E29" t="s">
        <v>221</v>
      </c>
      <c r="F29" t="s">
        <v>105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C30)),"arxiv",SUM(I30:AA30)&lt;3,"no categories",TRUE,"")</f>
        <v/>
      </c>
      <c r="C30" s="1" t="s">
        <v>18</v>
      </c>
      <c r="D30" t="s">
        <v>80</v>
      </c>
      <c r="E30" t="s">
        <v>220</v>
      </c>
      <c r="F30" t="s">
        <v>129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C31)),"arxiv",SUM(I31:AA31)&lt;3,"no categories",TRUE,"")</f>
        <v/>
      </c>
      <c r="C31" s="1" t="s">
        <v>21</v>
      </c>
      <c r="D31" t="s">
        <v>78</v>
      </c>
      <c r="E31" s="4" t="s">
        <v>219</v>
      </c>
      <c r="F31" t="s">
        <v>79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C32)),"arxiv",SUM(I32:AA32)&lt;3,"no categories",TRUE,"")</f>
        <v/>
      </c>
      <c r="C32" s="1" t="s">
        <v>20</v>
      </c>
      <c r="D32" s="2" t="s">
        <v>306</v>
      </c>
      <c r="E32" s="9" t="s">
        <v>241</v>
      </c>
      <c r="F32" t="s">
        <v>77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C33)),"arxiv",SUM(I33:AA33)&lt;3,"no categories",TRUE,"")</f>
        <v/>
      </c>
      <c r="C33" s="1" t="s">
        <v>19</v>
      </c>
      <c r="D33" t="s">
        <v>75</v>
      </c>
      <c r="E33" t="s">
        <v>198</v>
      </c>
      <c r="F33" t="s">
        <v>76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C34)),"arxiv",SUM(I34:AA34)&lt;3,"no categories",TRUE,"")</f>
        <v/>
      </c>
      <c r="C34" s="1" t="s">
        <v>18</v>
      </c>
      <c r="D34" t="s">
        <v>74</v>
      </c>
      <c r="E34" t="s">
        <v>218</v>
      </c>
      <c r="F34" t="s">
        <v>153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C35)),"arxiv",SUM(I35:AA35)&lt;3,"no categories",TRUE,"")</f>
        <v/>
      </c>
      <c r="C35" s="1" t="s">
        <v>17</v>
      </c>
      <c r="D35" t="s">
        <v>72</v>
      </c>
      <c r="E35" t="s">
        <v>217</v>
      </c>
      <c r="F35" t="s">
        <v>73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C36)),"arxiv",SUM(I36:AA36)&lt;3,"no categories",TRUE,"")</f>
        <v/>
      </c>
      <c r="C36" s="1" t="s">
        <v>16</v>
      </c>
      <c r="D36" t="s">
        <v>71</v>
      </c>
      <c r="E36" t="s">
        <v>216</v>
      </c>
      <c r="F36" t="s">
        <v>155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C37)),"arxiv",SUM(I37:AA37)&lt;3,"no categories",TRUE,"")</f>
        <v/>
      </c>
      <c r="C37" s="1" t="s">
        <v>268</v>
      </c>
      <c r="D37" t="s">
        <v>269</v>
      </c>
      <c r="E37" t="s">
        <v>265</v>
      </c>
      <c r="F37" t="s">
        <v>266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C38)),"arxiv",SUM(I38:AA38)&lt;3,"no categories",TRUE,"")</f>
        <v/>
      </c>
      <c r="C38" s="1" t="s">
        <v>13</v>
      </c>
      <c r="D38" t="s">
        <v>70</v>
      </c>
      <c r="E38" t="s">
        <v>215</v>
      </c>
      <c r="F38" t="s">
        <v>154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0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C39)),"arxiv",SUM(I39:AA39)&lt;3,"no categories",TRUE,"")</f>
        <v/>
      </c>
      <c r="C39" s="1" t="s">
        <v>13</v>
      </c>
      <c r="D39" t="s">
        <v>104</v>
      </c>
      <c r="E39" t="s">
        <v>214</v>
      </c>
      <c r="F39" t="s">
        <v>103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C40)),"arxiv",SUM(I40:AA40)&lt;3,"no categories",TRUE,"")</f>
        <v/>
      </c>
      <c r="C40" s="1" t="s">
        <v>15</v>
      </c>
      <c r="D40" t="s">
        <v>102</v>
      </c>
      <c r="E40" t="s">
        <v>207</v>
      </c>
      <c r="F40" t="s">
        <v>101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C41)),"arxiv",SUM(I41:AA41)&lt;3,"no categories",TRUE,"")</f>
        <v/>
      </c>
      <c r="C41" s="1" t="s">
        <v>14</v>
      </c>
      <c r="D41" t="s">
        <v>100</v>
      </c>
      <c r="E41" t="s">
        <v>208</v>
      </c>
      <c r="F41" t="s">
        <v>99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C42)),"arxiv",SUM(I42:AA42)&lt;3,"no categories",TRUE,"")</f>
        <v/>
      </c>
      <c r="C42" s="2" t="s">
        <v>13</v>
      </c>
      <c r="D42" t="s">
        <v>69</v>
      </c>
      <c r="E42" t="s">
        <v>197</v>
      </c>
      <c r="F42" t="s">
        <v>153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C43)),"arxiv",SUM(I43:AA43)&lt;3,"no categories",TRUE,"")</f>
        <v/>
      </c>
      <c r="C43" s="2" t="s">
        <v>12</v>
      </c>
      <c r="D43" t="s">
        <v>67</v>
      </c>
      <c r="E43" t="s">
        <v>196</v>
      </c>
      <c r="F43" t="s">
        <v>68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C44)),"arxiv",SUM(I44:AA44)&lt;3,"no categories",TRUE,"")</f>
        <v/>
      </c>
      <c r="C44" s="1" t="s">
        <v>176</v>
      </c>
      <c r="D44" t="s">
        <v>177</v>
      </c>
      <c r="E44" t="s">
        <v>195</v>
      </c>
      <c r="F44" t="s">
        <v>178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C45)),"arxiv",SUM(I45:AA45)&lt;3,"no categories",TRUE,"")</f>
        <v/>
      </c>
      <c r="C45" s="1" t="s">
        <v>176</v>
      </c>
      <c r="D45" t="s">
        <v>273</v>
      </c>
      <c r="E45" t="s">
        <v>272</v>
      </c>
      <c r="F45" t="s">
        <v>274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C46)),"arxiv",SUM(I46:AA46)&lt;3,"no categories",TRUE,"")</f>
        <v/>
      </c>
      <c r="C46" s="2" t="s">
        <v>11</v>
      </c>
      <c r="D46" t="s">
        <v>66</v>
      </c>
      <c r="E46" s="9" t="s">
        <v>242</v>
      </c>
      <c r="F46" t="s">
        <v>152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C47)),"arxiv",SUM(I47:AA47)&lt;3,"no categories",TRUE,"")</f>
        <v/>
      </c>
      <c r="C47" s="1" t="s">
        <v>10</v>
      </c>
      <c r="D47" t="s">
        <v>64</v>
      </c>
      <c r="E47" t="s">
        <v>213</v>
      </c>
      <c r="F47" t="s">
        <v>65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C48)),"arxiv",SUM(I48:AA48)&lt;3,"no categories",TRUE,"")</f>
        <v/>
      </c>
      <c r="C48" s="1" t="s">
        <v>9</v>
      </c>
      <c r="D48" t="s">
        <v>267</v>
      </c>
      <c r="E48" t="s">
        <v>243</v>
      </c>
      <c r="F48" t="s">
        <v>266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C49)),"arxiv",SUM(I49:AA49)&lt;3,"no categories",TRUE,"")</f>
        <v/>
      </c>
      <c r="C49" s="1" t="s">
        <v>8</v>
      </c>
      <c r="D49" t="s">
        <v>175</v>
      </c>
      <c r="E49" t="s">
        <v>212</v>
      </c>
      <c r="F49" t="s">
        <v>174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C50)),"arxiv",SUM(I50:AA50)&lt;3,"no categories",TRUE,"")</f>
        <v/>
      </c>
      <c r="C50" s="2" t="s">
        <v>7</v>
      </c>
      <c r="D50" t="s">
        <v>173</v>
      </c>
      <c r="E50" t="s">
        <v>211</v>
      </c>
      <c r="F50" t="s">
        <v>172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C51)),"arxiv",SUM(I51:AA51)&lt;3,"no categories",TRUE,"")</f>
        <v/>
      </c>
      <c r="C51" s="2" t="s">
        <v>7</v>
      </c>
      <c r="D51" t="s">
        <v>62</v>
      </c>
      <c r="E51" t="s">
        <v>210</v>
      </c>
      <c r="F51" t="s">
        <v>63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C52)),"arxiv",SUM(I52:AA52)&lt;3,"no categories",TRUE,"")</f>
        <v/>
      </c>
      <c r="C52" s="2" t="s">
        <v>6</v>
      </c>
      <c r="D52" t="s">
        <v>60</v>
      </c>
      <c r="E52" s="14" t="s">
        <v>194</v>
      </c>
      <c r="F52" t="s">
        <v>61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C53)),"arxiv",SUM(I53:AA53)&lt;3,"no categories",TRUE,"")</f>
        <v/>
      </c>
      <c r="C53" s="2" t="s">
        <v>5</v>
      </c>
      <c r="D53" t="s">
        <v>59</v>
      </c>
      <c r="E53" t="s">
        <v>264</v>
      </c>
      <c r="F53" t="s">
        <v>151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C54)),"arxiv",SUM(I54:AA54)&lt;3,"no categories",TRUE,"")</f>
        <v/>
      </c>
      <c r="C54" s="2" t="s">
        <v>4</v>
      </c>
      <c r="D54" t="s">
        <v>98</v>
      </c>
      <c r="E54" t="s">
        <v>209</v>
      </c>
      <c r="F54" t="s">
        <v>97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C55)),"arxiv",SUM(I55:AA55)&lt;3,"no categories",TRUE,"")</f>
        <v/>
      </c>
      <c r="C55" s="2" t="s">
        <v>355</v>
      </c>
      <c r="D55" t="s">
        <v>57</v>
      </c>
      <c r="E55" t="s">
        <v>244</v>
      </c>
      <c r="F55" t="s">
        <v>58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C56)),"arxiv",SUM(I56:AA56)&lt;3,"no categories",TRUE,"")</f>
        <v/>
      </c>
      <c r="C56" s="2" t="s">
        <v>307</v>
      </c>
      <c r="D56" s="2" t="s">
        <v>300</v>
      </c>
      <c r="E56" t="s">
        <v>193</v>
      </c>
      <c r="F56" t="s">
        <v>3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C57)),"arxiv",SUM(I57:AA57)&lt;3,"no categories",TRUE,"")</f>
        <v/>
      </c>
      <c r="C57" s="2" t="s">
        <v>185</v>
      </c>
      <c r="D57" t="s">
        <v>170</v>
      </c>
      <c r="E57" s="12" t="s">
        <v>309</v>
      </c>
      <c r="F57" t="s">
        <v>169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C58)),"arxiv",SUM(I58:AA58)&lt;3,"no categories",TRUE,"")</f>
        <v/>
      </c>
      <c r="C58" s="2" t="s">
        <v>310</v>
      </c>
      <c r="D58" t="s">
        <v>55</v>
      </c>
      <c r="E58" s="12" t="s">
        <v>311</v>
      </c>
      <c r="F58" t="s">
        <v>56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C59)),"arxiv",SUM(I59:AA59)&lt;3,"no categories",TRUE,"")</f>
        <v/>
      </c>
      <c r="C59" s="2" t="s">
        <v>1</v>
      </c>
      <c r="D59" t="s">
        <v>168</v>
      </c>
      <c r="E59" t="s">
        <v>192</v>
      </c>
      <c r="F59" t="s">
        <v>167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C60)),"arxiv",SUM(I60:AA60)&lt;3,"no categories",TRUE,"")</f>
        <v/>
      </c>
      <c r="C60" s="2" t="s">
        <v>296</v>
      </c>
      <c r="D60" t="s">
        <v>166</v>
      </c>
      <c r="E60" t="s">
        <v>245</v>
      </c>
      <c r="F60" t="s">
        <v>165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C61)),"arxiv",SUM(I61:AA61)&lt;3,"no categories",TRUE,"")</f>
        <v/>
      </c>
      <c r="C61" s="2" t="s">
        <v>1</v>
      </c>
      <c r="D61" t="s">
        <v>49</v>
      </c>
      <c r="E61" t="s">
        <v>246</v>
      </c>
      <c r="F61" t="s">
        <v>2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C62)),"arxiv",SUM(I62:AA62)&lt;3,"no categories",TRUE,"")</f>
        <v/>
      </c>
      <c r="C62" s="2" t="s">
        <v>312</v>
      </c>
      <c r="D62" t="s">
        <v>96</v>
      </c>
      <c r="E62" s="12" t="s">
        <v>318</v>
      </c>
      <c r="F62" t="s">
        <v>95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C63)),"arxiv",SUM(I63:AA63)&lt;3,"no categories",TRUE,"")</f>
        <v/>
      </c>
      <c r="C63" s="2" t="s">
        <v>1</v>
      </c>
      <c r="D63" t="s">
        <v>54</v>
      </c>
      <c r="E63" t="s">
        <v>191</v>
      </c>
      <c r="F63" t="s">
        <v>150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C64" s="2" t="s">
        <v>342</v>
      </c>
      <c r="D64" t="s">
        <v>53</v>
      </c>
      <c r="E64" t="s">
        <v>190</v>
      </c>
      <c r="F64" t="s">
        <v>149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C65)),"arxiv",SUM(I65:AA65)&lt;3,"no categories",TRUE,"")</f>
        <v/>
      </c>
      <c r="C65" s="2" t="s">
        <v>183</v>
      </c>
      <c r="D65" t="s">
        <v>52</v>
      </c>
      <c r="E65" s="9" t="s">
        <v>308</v>
      </c>
      <c r="F65" t="s">
        <v>148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C66)),"arxiv",SUM(I66:AA66)&lt;3,"no categories",TRUE,"")</f>
        <v/>
      </c>
      <c r="C66" s="2" t="s">
        <v>337</v>
      </c>
      <c r="D66" t="s">
        <v>163</v>
      </c>
      <c r="E66" s="12" t="s">
        <v>366</v>
      </c>
      <c r="F66" t="s">
        <v>162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1" si="19">IF(AF66,E66,"")</f>
        <v>wilcox2024bigger</v>
      </c>
      <c r="AH66" t="str">
        <f t="shared" ref="AH66:AH71" si="20">IF(W66,E66,"")</f>
        <v>wilcox2024bigger</v>
      </c>
      <c r="AI66" t="str">
        <f t="shared" ref="AI66:AI71" si="21">IF(Y66,E66,"")</f>
        <v>wilcox2024bigger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C67)),"arxiv",SUM(I67:AA67)&lt;3,"no categories",TRUE,"")</f>
        <v/>
      </c>
      <c r="C67" s="2" t="s">
        <v>0</v>
      </c>
      <c r="D67" t="s">
        <v>50</v>
      </c>
      <c r="E67" t="s">
        <v>189</v>
      </c>
      <c r="F67" t="s">
        <v>51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71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7" si="23">1+A67</f>
        <v>67</v>
      </c>
      <c r="B68" t="str" cm="1">
        <f t="array" ref="B68">_xlfn.IFS(ISBLANK(D68),"",ISBLANK(C68),"no venue",ISBLANK(E68),"no bib",ISNUMBER(SEARCH("xiv", C68)),"arxiv",SUM(I68:AA68)&lt;3,"no categories",TRUE,"")</f>
        <v/>
      </c>
      <c r="C68" s="1" t="s">
        <v>341</v>
      </c>
      <c r="D68" s="1" t="s">
        <v>186</v>
      </c>
      <c r="E68" t="s">
        <v>188</v>
      </c>
      <c r="F68" t="s">
        <v>187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C69)),"arxiv",SUM(I69:AA69)&lt;3,"no categories",TRUE,"")</f>
        <v/>
      </c>
      <c r="C69" t="s">
        <v>251</v>
      </c>
      <c r="D69" s="2" t="s">
        <v>252</v>
      </c>
      <c r="E69" s="1" t="s">
        <v>254</v>
      </c>
      <c r="F69" s="10" t="s">
        <v>253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C70)),"arxiv",SUM(I70:AA70)&lt;3,"no categories",TRUE,"")</f>
        <v/>
      </c>
      <c r="C70" t="s">
        <v>313</v>
      </c>
      <c r="D70" s="2" t="s">
        <v>255</v>
      </c>
      <c r="E70" s="9" t="s">
        <v>314</v>
      </c>
      <c r="F70" s="10" t="s">
        <v>256</v>
      </c>
      <c r="G70">
        <v>2024</v>
      </c>
      <c r="H70">
        <v>1</v>
      </c>
      <c r="K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C71)),"arxiv",SUM(I71:AA71)&lt;3,"no categories",TRUE,"")</f>
        <v/>
      </c>
      <c r="C71" s="1" t="s">
        <v>184</v>
      </c>
      <c r="D71" t="s">
        <v>304</v>
      </c>
      <c r="E71" s="12" t="s">
        <v>303</v>
      </c>
      <c r="F71" s="10" t="s">
        <v>302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C72)),"arxiv",SUM(I72:AA72)&lt;3,"no categories",TRUE,"")</f>
        <v/>
      </c>
      <c r="C72" t="s">
        <v>292</v>
      </c>
      <c r="D72" s="13" t="s">
        <v>301</v>
      </c>
      <c r="E72" t="s">
        <v>270</v>
      </c>
      <c r="F72" s="10" t="s">
        <v>271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ref="AF72:AF98" si="24">IF(SUM(T72,P72)&gt;0,1,0)</f>
        <v>1</v>
      </c>
      <c r="AG72" t="str">
        <f t="shared" ref="AG72:AG98" si="25">IF(AF72,E72,"")</f>
        <v>knots</v>
      </c>
      <c r="AH72" t="str">
        <f t="shared" ref="AH72:AH98" si="26">IF(W72,E72,"")</f>
        <v>knots</v>
      </c>
      <c r="AI72" t="str">
        <f t="shared" ref="AI72:AI98" si="27">IF(Y72,E72,"")</f>
        <v>knots</v>
      </c>
      <c r="AK72">
        <f t="shared" ref="AK72:AK98" si="28">IF(Z72+T72&gt;1,1,0)</f>
        <v>0</v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C73)),"arxiv",SUM(I73:AA73)&lt;3,"no categories",TRUE,"")</f>
        <v/>
      </c>
      <c r="C73" t="s">
        <v>185</v>
      </c>
      <c r="D73" s="5" t="s">
        <v>275</v>
      </c>
      <c r="E73" t="s">
        <v>282</v>
      </c>
      <c r="F73" s="5" t="s">
        <v>276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4"/>
        <v>1</v>
      </c>
      <c r="AG73" t="str">
        <f t="shared" si="25"/>
        <v>polo2024sloth</v>
      </c>
      <c r="AH73" t="str">
        <f t="shared" si="26"/>
        <v/>
      </c>
      <c r="AI73" t="str">
        <f t="shared" si="27"/>
        <v>polo2024sloth</v>
      </c>
      <c r="AK73">
        <f t="shared" si="28"/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C74)),"arxiv",SUM(I74:AA74)&lt;3,"no categories",TRUE,"")</f>
        <v/>
      </c>
      <c r="C74" t="s">
        <v>316</v>
      </c>
      <c r="D74" s="5" t="s">
        <v>277</v>
      </c>
      <c r="E74" t="s">
        <v>279</v>
      </c>
      <c r="F74" s="5" t="s">
        <v>278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4"/>
        <v>1</v>
      </c>
      <c r="AG74" t="str">
        <f t="shared" si="25"/>
        <v>choshen2024hitchhiker</v>
      </c>
      <c r="AH74" t="str">
        <f t="shared" si="26"/>
        <v>choshen2024hitchhiker</v>
      </c>
      <c r="AI74" t="str">
        <f t="shared" si="27"/>
        <v>choshen2024hitchhiker</v>
      </c>
      <c r="AK74">
        <f t="shared" si="28"/>
        <v>1</v>
      </c>
    </row>
    <row r="75" spans="1:37">
      <c r="A75">
        <f t="shared" si="23"/>
        <v>74</v>
      </c>
      <c r="C75" t="s">
        <v>291</v>
      </c>
      <c r="D75" s="2" t="s">
        <v>297</v>
      </c>
      <c r="E75" s="12" t="s">
        <v>298</v>
      </c>
      <c r="F75" s="5" t="s">
        <v>299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9">IF(SUM(Y75,T75,P75,W75),0,1)</f>
        <v>0</v>
      </c>
      <c r="AF75">
        <f t="shared" si="24"/>
        <v>1</v>
      </c>
      <c r="AG75" t="str">
        <f t="shared" si="25"/>
        <v>perlitz2024llm</v>
      </c>
      <c r="AH75" t="str">
        <f t="shared" si="26"/>
        <v>perlitz2024llm</v>
      </c>
      <c r="AI75" t="str">
        <f t="shared" si="27"/>
        <v/>
      </c>
      <c r="AK75">
        <f t="shared" si="28"/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C76)),"arxiv",SUM(I76:AA76)&lt;3,"no categories",TRUE,"")</f>
        <v/>
      </c>
      <c r="C76" t="s">
        <v>292</v>
      </c>
      <c r="D76" s="5" t="s">
        <v>280</v>
      </c>
      <c r="E76" s="9" t="s">
        <v>315</v>
      </c>
      <c r="F76" s="5" t="s">
        <v>281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F76">
        <f t="shared" si="24"/>
        <v>1</v>
      </c>
      <c r="AG76" t="str">
        <f t="shared" si="25"/>
        <v>shabtay2025livexiv</v>
      </c>
      <c r="AH76" t="str">
        <f t="shared" si="26"/>
        <v/>
      </c>
      <c r="AI76" t="str">
        <f t="shared" si="27"/>
        <v/>
      </c>
      <c r="AK76">
        <f t="shared" si="28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C77)),"arxiv",SUM(I77:AA77)&lt;3,"no categories",TRUE,"")</f>
        <v/>
      </c>
      <c r="C77" t="s">
        <v>184</v>
      </c>
      <c r="D77" s="2" t="s">
        <v>317</v>
      </c>
      <c r="E77" s="12" t="s">
        <v>319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4"/>
        <v>1</v>
      </c>
      <c r="AG77" t="str">
        <f t="shared" si="25"/>
        <v>hu-etal-2024-findings</v>
      </c>
      <c r="AH77" t="str">
        <f t="shared" si="26"/>
        <v>hu-etal-2024-findings</v>
      </c>
      <c r="AI77" t="str">
        <f t="shared" si="27"/>
        <v>hu-etal-2024-findings</v>
      </c>
      <c r="AK77">
        <f t="shared" si="28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C78)),"arxiv",SUM(I78:AA78)&lt;3,"no categories",TRUE,"")</f>
        <v/>
      </c>
      <c r="C78" t="s">
        <v>185</v>
      </c>
      <c r="D78" s="2" t="s">
        <v>305</v>
      </c>
      <c r="E78" s="9" t="s">
        <v>365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4"/>
        <v>1</v>
      </c>
      <c r="AG78" t="str">
        <f t="shared" si="25"/>
        <v>tam2024llm</v>
      </c>
      <c r="AH78" t="str">
        <f t="shared" si="26"/>
        <v>tam2024llm</v>
      </c>
      <c r="AI78" t="str">
        <f t="shared" si="27"/>
        <v>tam2024llm</v>
      </c>
      <c r="AK78">
        <f t="shared" si="28"/>
        <v>1</v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C79)),"arxiv",SUM(I79:AA79)&lt;3,"no categories",TRUE,"")</f>
        <v/>
      </c>
      <c r="C79" t="s">
        <v>312</v>
      </c>
      <c r="D79" s="11" t="s">
        <v>295</v>
      </c>
      <c r="E79" s="12" t="s">
        <v>367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D79">
        <v>1</v>
      </c>
      <c r="AE79">
        <f t="shared" si="15"/>
        <v>0</v>
      </c>
      <c r="AF79">
        <f t="shared" si="24"/>
        <v>1</v>
      </c>
      <c r="AG79" t="str">
        <f t="shared" si="25"/>
        <v>singh2024global</v>
      </c>
      <c r="AH79" t="str">
        <f t="shared" si="26"/>
        <v>singh2024global</v>
      </c>
      <c r="AI79" t="str">
        <f t="shared" si="27"/>
        <v>singh2024global</v>
      </c>
      <c r="AK79">
        <f t="shared" si="28"/>
        <v>0</v>
      </c>
    </row>
    <row r="80" spans="1:37">
      <c r="A80">
        <f t="shared" si="23"/>
        <v>79</v>
      </c>
      <c r="C80" t="s">
        <v>321</v>
      </c>
      <c r="D80" s="2" t="s">
        <v>320</v>
      </c>
      <c r="E80" s="12" t="s">
        <v>344</v>
      </c>
      <c r="G80">
        <v>2025</v>
      </c>
      <c r="H80">
        <v>1</v>
      </c>
      <c r="O80">
        <v>1</v>
      </c>
      <c r="R80">
        <v>1</v>
      </c>
      <c r="T80">
        <v>1</v>
      </c>
      <c r="X80">
        <v>1</v>
      </c>
      <c r="AA80">
        <v>1</v>
      </c>
      <c r="AD80">
        <v>1</v>
      </c>
      <c r="AF80">
        <f t="shared" si="24"/>
        <v>1</v>
      </c>
      <c r="AG80" t="str">
        <f t="shared" si="25"/>
        <v>ashurytahan2025mightytorrbenchmarktable</v>
      </c>
      <c r="AH80" t="str">
        <f t="shared" si="26"/>
        <v/>
      </c>
      <c r="AI80" t="str">
        <f t="shared" si="27"/>
        <v/>
      </c>
      <c r="AK80">
        <f t="shared" si="28"/>
        <v>0</v>
      </c>
    </row>
    <row r="81" spans="1:37">
      <c r="A81">
        <f t="shared" si="23"/>
        <v>80</v>
      </c>
      <c r="B81" t="str" cm="1">
        <f t="array" ref="B81">_xlfn.IFS(ISBLANK(D81),"",ISBLANK(C81),"no venue",ISBLANK(E81),"no bib",ISNUMBER(SEARCH("xiv", C81)),"arxiv",SUM(I81:AA81)&lt;3,"no categories",TRUE,"")</f>
        <v/>
      </c>
      <c r="C81" t="s">
        <v>312</v>
      </c>
      <c r="D81" s="2" t="s">
        <v>322</v>
      </c>
      <c r="E81" s="12" t="s">
        <v>323</v>
      </c>
      <c r="G81">
        <v>2025</v>
      </c>
      <c r="H81">
        <v>1</v>
      </c>
      <c r="K81">
        <v>1</v>
      </c>
      <c r="O81">
        <v>1</v>
      </c>
      <c r="Q81">
        <v>1</v>
      </c>
      <c r="R81">
        <v>1</v>
      </c>
      <c r="T81">
        <v>1</v>
      </c>
      <c r="U81">
        <v>1</v>
      </c>
      <c r="W81">
        <v>1</v>
      </c>
      <c r="X81">
        <v>1</v>
      </c>
      <c r="Y81">
        <v>1</v>
      </c>
      <c r="AA81">
        <v>1</v>
      </c>
      <c r="AD81">
        <v>1</v>
      </c>
      <c r="AF81">
        <f t="shared" si="24"/>
        <v>1</v>
      </c>
      <c r="AG81" t="str">
        <f t="shared" si="25"/>
        <v>habba-etal-2025-dove</v>
      </c>
      <c r="AH81" t="str">
        <f t="shared" si="26"/>
        <v>habba-etal-2025-dove</v>
      </c>
      <c r="AI81" t="str">
        <f t="shared" si="27"/>
        <v>habba-etal-2025-dove</v>
      </c>
      <c r="AK81">
        <f t="shared" si="28"/>
        <v>0</v>
      </c>
    </row>
    <row r="82" spans="1:37">
      <c r="A82">
        <f t="shared" si="23"/>
        <v>81</v>
      </c>
      <c r="B82" t="str" cm="1">
        <f t="array" ref="B82">_xlfn.IFS(ISBLANK(D82),"",ISBLANK(C82),"no venue",ISBLANK(E82),"no bib",ISNUMBER(SEARCH("xiv", C82)),"arxiv",SUM(I82:AA82)&lt;3,"no categories",TRUE,"")</f>
        <v>arxiv</v>
      </c>
      <c r="C82" t="s">
        <v>28</v>
      </c>
      <c r="D82" s="2" t="s">
        <v>324</v>
      </c>
      <c r="E82" s="12" t="s">
        <v>325</v>
      </c>
      <c r="G82">
        <v>2025</v>
      </c>
      <c r="H82">
        <v>1</v>
      </c>
      <c r="O82">
        <v>1</v>
      </c>
      <c r="Q82">
        <v>1</v>
      </c>
      <c r="S82">
        <v>1</v>
      </c>
      <c r="U82">
        <v>1</v>
      </c>
      <c r="X82">
        <v>1</v>
      </c>
      <c r="Y82">
        <v>1</v>
      </c>
      <c r="Z82">
        <v>1</v>
      </c>
      <c r="AD82">
        <v>1</v>
      </c>
      <c r="AF82">
        <f t="shared" si="24"/>
        <v>0</v>
      </c>
      <c r="AG82" t="str">
        <f t="shared" si="25"/>
        <v/>
      </c>
      <c r="AH82" t="str">
        <f t="shared" si="26"/>
        <v/>
      </c>
      <c r="AI82" t="str">
        <f t="shared" si="27"/>
        <v>saroufim2025neurips</v>
      </c>
      <c r="AK82">
        <f t="shared" si="28"/>
        <v>0</v>
      </c>
    </row>
    <row r="83" spans="1:37">
      <c r="A83">
        <f t="shared" si="23"/>
        <v>82</v>
      </c>
      <c r="B83" t="s">
        <v>349</v>
      </c>
      <c r="C83" t="s">
        <v>345</v>
      </c>
      <c r="D83" s="2" t="s">
        <v>326</v>
      </c>
      <c r="E83" s="12" t="s">
        <v>330</v>
      </c>
      <c r="G83">
        <v>2026</v>
      </c>
      <c r="H83">
        <v>1</v>
      </c>
      <c r="I83">
        <v>1</v>
      </c>
      <c r="N83">
        <v>1</v>
      </c>
      <c r="Q83">
        <v>1</v>
      </c>
      <c r="S83">
        <v>1</v>
      </c>
      <c r="V83">
        <v>1</v>
      </c>
      <c r="AA83">
        <v>1</v>
      </c>
      <c r="AD83">
        <v>1</v>
      </c>
      <c r="AF83">
        <f t="shared" si="24"/>
        <v>0</v>
      </c>
      <c r="AG83" t="str">
        <f t="shared" si="25"/>
        <v/>
      </c>
      <c r="AH83" t="str">
        <f t="shared" si="26"/>
        <v/>
      </c>
      <c r="AI83" t="str">
        <f t="shared" si="27"/>
        <v/>
      </c>
      <c r="AK83">
        <f t="shared" si="28"/>
        <v>0</v>
      </c>
    </row>
    <row r="84" spans="1:37">
      <c r="A84">
        <f t="shared" si="23"/>
        <v>83</v>
      </c>
      <c r="B84" t="str" cm="1">
        <f t="array" ref="B84">_xlfn.IFS(ISBLANK(D84),"",ISBLANK(C84),"no venue",ISBLANK(E84),"no bib",ISNUMBER(SEARCH("xiv", C84)),"arxiv",SUM(I84:AA84)&lt;3,"no categories",TRUE,"")</f>
        <v>arxiv</v>
      </c>
      <c r="C84" t="s">
        <v>291</v>
      </c>
      <c r="D84" s="2" t="s">
        <v>327</v>
      </c>
      <c r="E84" s="12" t="s">
        <v>329</v>
      </c>
      <c r="G84">
        <v>2025</v>
      </c>
      <c r="H84">
        <v>1</v>
      </c>
      <c r="O84">
        <v>1</v>
      </c>
      <c r="Q84">
        <v>1</v>
      </c>
      <c r="R84">
        <v>1</v>
      </c>
      <c r="S84">
        <v>1</v>
      </c>
      <c r="T84">
        <v>1</v>
      </c>
      <c r="U84">
        <v>1</v>
      </c>
      <c r="W84">
        <v>1</v>
      </c>
      <c r="Y84">
        <v>1</v>
      </c>
      <c r="AA84">
        <v>1</v>
      </c>
      <c r="AD84">
        <v>1</v>
      </c>
      <c r="AF84">
        <f t="shared" si="24"/>
        <v>1</v>
      </c>
      <c r="AG84" t="str">
        <f t="shared" si="25"/>
        <v>guertler2025textarena</v>
      </c>
      <c r="AH84" t="str">
        <f t="shared" si="26"/>
        <v>guertler2025textarena</v>
      </c>
      <c r="AI84" t="str">
        <f t="shared" si="27"/>
        <v>guertler2025textarena</v>
      </c>
      <c r="AK84">
        <f t="shared" si="28"/>
        <v>0</v>
      </c>
    </row>
    <row r="85" spans="1:37">
      <c r="A85">
        <f t="shared" si="23"/>
        <v>84</v>
      </c>
      <c r="B85" t="str" cm="1">
        <f t="array" ref="B85">_xlfn.IFS(ISBLANK(D85),"",ISBLANK(C85),"no venue",ISBLANK(E85),"no bib",ISNUMBER(SEARCH("xiv", C85)),"arxiv",SUM(I85:AA85)&lt;3,"no categories",TRUE,"")</f>
        <v>arxiv</v>
      </c>
      <c r="C85" t="s">
        <v>291</v>
      </c>
      <c r="D85" s="2" t="s">
        <v>331</v>
      </c>
      <c r="E85" s="12" t="s">
        <v>332</v>
      </c>
      <c r="G85">
        <v>2025</v>
      </c>
      <c r="H85">
        <v>1</v>
      </c>
      <c r="P85">
        <v>1</v>
      </c>
      <c r="Q85">
        <v>1</v>
      </c>
      <c r="S85">
        <v>1</v>
      </c>
      <c r="AA85">
        <v>1</v>
      </c>
      <c r="AD85">
        <v>1</v>
      </c>
      <c r="AF85">
        <f t="shared" si="24"/>
        <v>1</v>
      </c>
      <c r="AG85" t="str">
        <f t="shared" si="25"/>
        <v>zhang2025can</v>
      </c>
      <c r="AH85" t="str">
        <f t="shared" si="26"/>
        <v/>
      </c>
      <c r="AI85" t="str">
        <f t="shared" si="27"/>
        <v/>
      </c>
      <c r="AK85">
        <f t="shared" si="28"/>
        <v>0</v>
      </c>
    </row>
    <row r="86" spans="1:37">
      <c r="A86">
        <f t="shared" si="23"/>
        <v>85</v>
      </c>
      <c r="B86" t="str" cm="1">
        <f t="array" ref="B86">_xlfn.IFS(ISBLANK(D86),"",ISBLANK(C86),"no venue",ISBLANK(E86),"no bib",ISNUMBER(SEARCH("xiv", C86)),"arxiv",SUM(I86:AA86)&lt;3,"no categories",TRUE,"")</f>
        <v>arxiv</v>
      </c>
      <c r="C86" t="s">
        <v>334</v>
      </c>
      <c r="D86" s="2" t="s">
        <v>333</v>
      </c>
      <c r="E86" s="12" t="s">
        <v>335</v>
      </c>
      <c r="G86">
        <v>2025</v>
      </c>
      <c r="H86">
        <v>1</v>
      </c>
      <c r="M86">
        <v>1</v>
      </c>
      <c r="Q86">
        <v>1</v>
      </c>
      <c r="AA86">
        <v>1</v>
      </c>
      <c r="AD86">
        <v>1</v>
      </c>
      <c r="AF86">
        <f t="shared" si="24"/>
        <v>0</v>
      </c>
      <c r="AG86" t="str">
        <f t="shared" si="25"/>
        <v/>
      </c>
      <c r="AH86" t="str">
        <f t="shared" si="26"/>
        <v/>
      </c>
      <c r="AI86" t="str">
        <f t="shared" si="27"/>
        <v/>
      </c>
      <c r="AK86">
        <f t="shared" si="28"/>
        <v>0</v>
      </c>
    </row>
    <row r="87" spans="1:37">
      <c r="A87">
        <f t="shared" si="23"/>
        <v>86</v>
      </c>
      <c r="B87" t="str" cm="1">
        <f t="array" ref="B87">_xlfn.IFS(ISBLANK(D87),"",ISBLANK(C87),"no venue",ISBLANK(E87),"no bib",ISNUMBER(SEARCH("xiv", C87)),"arxiv",SUM(I87:AA87)&lt;3,"no categories",TRUE,"")</f>
        <v/>
      </c>
      <c r="C87" t="s">
        <v>343</v>
      </c>
      <c r="D87" s="2" t="s">
        <v>336</v>
      </c>
      <c r="E87" s="12" t="s">
        <v>338</v>
      </c>
      <c r="G87">
        <v>2025</v>
      </c>
      <c r="H87">
        <v>1</v>
      </c>
      <c r="O87">
        <v>1</v>
      </c>
      <c r="W87">
        <v>1</v>
      </c>
      <c r="Y87">
        <v>1</v>
      </c>
      <c r="Z87">
        <v>1</v>
      </c>
      <c r="AA87">
        <v>1</v>
      </c>
      <c r="AD87">
        <v>1</v>
      </c>
      <c r="AF87">
        <f t="shared" si="24"/>
        <v>0</v>
      </c>
      <c r="AG87" t="str">
        <f t="shared" si="25"/>
        <v/>
      </c>
      <c r="AH87" t="str">
        <f t="shared" si="26"/>
        <v>zipnn</v>
      </c>
      <c r="AI87" t="str">
        <f t="shared" si="27"/>
        <v>zipnn</v>
      </c>
      <c r="AK87">
        <f t="shared" si="28"/>
        <v>0</v>
      </c>
    </row>
    <row r="88" spans="1:37">
      <c r="A88">
        <f t="shared" si="23"/>
        <v>87</v>
      </c>
      <c r="B88" t="str" cm="1">
        <f t="array" ref="B88">_xlfn.IFS(ISBLANK(D88),"",ISBLANK(C88),"no venue",ISBLANK(E88),"no bib",ISNUMBER(SEARCH("xiv", C88)),"arxiv",SUM(I88:AA88)&lt;3,"no categories",TRUE,"")</f>
        <v/>
      </c>
      <c r="C88" t="s">
        <v>292</v>
      </c>
      <c r="D88" s="2" t="s">
        <v>340</v>
      </c>
      <c r="E88" s="9" t="s">
        <v>346</v>
      </c>
      <c r="G88">
        <v>2025</v>
      </c>
      <c r="H88">
        <v>1</v>
      </c>
      <c r="Q88">
        <v>1</v>
      </c>
      <c r="S88">
        <v>1</v>
      </c>
      <c r="AA88">
        <v>1</v>
      </c>
      <c r="AD88">
        <v>1</v>
      </c>
      <c r="AF88">
        <f t="shared" si="24"/>
        <v>0</v>
      </c>
      <c r="AG88" t="str">
        <f t="shared" si="25"/>
        <v/>
      </c>
      <c r="AH88" t="str">
        <f t="shared" si="26"/>
        <v/>
      </c>
      <c r="AI88" t="str">
        <f t="shared" si="27"/>
        <v/>
      </c>
      <c r="AK88">
        <f t="shared" si="28"/>
        <v>0</v>
      </c>
    </row>
    <row r="89" spans="1:37">
      <c r="A89">
        <f t="shared" si="23"/>
        <v>88</v>
      </c>
      <c r="B89" t="str" cm="1">
        <f t="array" ref="B89">_xlfn.IFS(ISBLANK(D89),"",ISBLANK(C89),"no venue",ISBLANK(E89),"no bib",ISNUMBER(SEARCH("xiv", C89)),"arxiv",SUM(I89:AA89)&lt;3,"no categories",TRUE,"")</f>
        <v>arxiv</v>
      </c>
      <c r="C89" t="s">
        <v>334</v>
      </c>
      <c r="D89" s="2" t="s">
        <v>339</v>
      </c>
      <c r="E89" s="12" t="s">
        <v>347</v>
      </c>
      <c r="G89">
        <v>2025</v>
      </c>
      <c r="H89">
        <v>1</v>
      </c>
      <c r="Q89">
        <v>1</v>
      </c>
      <c r="S89">
        <v>1</v>
      </c>
      <c r="AA89">
        <v>1</v>
      </c>
      <c r="AD89">
        <v>1</v>
      </c>
      <c r="AF89">
        <f t="shared" si="24"/>
        <v>0</v>
      </c>
      <c r="AG89" t="str">
        <f t="shared" si="25"/>
        <v/>
      </c>
      <c r="AH89" t="str">
        <f t="shared" si="26"/>
        <v/>
      </c>
      <c r="AI89" t="str">
        <f t="shared" si="27"/>
        <v/>
      </c>
      <c r="AK89">
        <f t="shared" si="28"/>
        <v>0</v>
      </c>
    </row>
    <row r="90" spans="1:37">
      <c r="A90">
        <f t="shared" si="23"/>
        <v>89</v>
      </c>
      <c r="B90" t="s">
        <v>349</v>
      </c>
      <c r="C90" t="s">
        <v>345</v>
      </c>
      <c r="D90" s="2" t="s">
        <v>348</v>
      </c>
      <c r="E90" s="12" t="s">
        <v>352</v>
      </c>
      <c r="G90">
        <v>2026</v>
      </c>
      <c r="H90">
        <v>1</v>
      </c>
      <c r="I90">
        <v>1</v>
      </c>
      <c r="N90">
        <v>1</v>
      </c>
      <c r="O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AA90">
        <v>1</v>
      </c>
      <c r="AD90">
        <v>1</v>
      </c>
      <c r="AF90">
        <f t="shared" si="24"/>
        <v>1</v>
      </c>
      <c r="AG90" t="str">
        <f t="shared" si="25"/>
        <v>jumelet2025babybabellm</v>
      </c>
      <c r="AH90" t="str">
        <f t="shared" si="26"/>
        <v>jumelet2025babybabellm</v>
      </c>
      <c r="AI90" t="str">
        <f t="shared" si="27"/>
        <v>jumelet2025babybabellm</v>
      </c>
      <c r="AK90">
        <f t="shared" si="28"/>
        <v>0</v>
      </c>
    </row>
    <row r="91" spans="1:37">
      <c r="A91">
        <f t="shared" si="23"/>
        <v>90</v>
      </c>
      <c r="B91" t="str" cm="1">
        <f t="array" ref="B91">_xlfn.IFS(ISBLANK(D91),"",ISBLANK(C91),"no venue",ISBLANK(E91),"no bib",ISNUMBER(SEARCH("xiv", C91)),"arxiv",SUM(I91:AA91)&lt;3,"no categories",TRUE,"")</f>
        <v>arxiv</v>
      </c>
      <c r="C91" t="s">
        <v>342</v>
      </c>
      <c r="D91" s="2" t="s">
        <v>350</v>
      </c>
      <c r="E91" s="12" t="s">
        <v>351</v>
      </c>
      <c r="G91">
        <v>2026</v>
      </c>
      <c r="H91">
        <v>1</v>
      </c>
      <c r="N91">
        <v>1</v>
      </c>
      <c r="O91">
        <v>1</v>
      </c>
      <c r="R91">
        <v>1</v>
      </c>
      <c r="U91">
        <v>1</v>
      </c>
      <c r="Y91">
        <v>1</v>
      </c>
      <c r="AA91">
        <v>1</v>
      </c>
      <c r="AD91">
        <v>1</v>
      </c>
      <c r="AF91">
        <f t="shared" si="24"/>
        <v>0</v>
      </c>
      <c r="AG91" t="str">
        <f t="shared" si="25"/>
        <v/>
      </c>
      <c r="AH91" t="str">
        <f t="shared" si="26"/>
        <v/>
      </c>
      <c r="AI91" t="str">
        <f t="shared" si="27"/>
        <v>chang2025globalpiqaevaluatingphysical</v>
      </c>
      <c r="AK91">
        <f t="shared" si="28"/>
        <v>0</v>
      </c>
    </row>
    <row r="92" spans="1:37">
      <c r="A92">
        <f t="shared" si="23"/>
        <v>91</v>
      </c>
      <c r="B92" t="str" cm="1">
        <f t="array" ref="B92">_xlfn.IFS(ISBLANK(D92),"",ISBLANK(C92),"no venue",ISBLANK(E92),"no bib",ISNUMBER(SEARCH("xiv", C92)),"arxiv",SUM(I92:AA92)&lt;3,"no categories",TRUE,"")</f>
        <v/>
      </c>
      <c r="C92" s="2" t="s">
        <v>310</v>
      </c>
      <c r="D92" s="2" t="s">
        <v>353</v>
      </c>
      <c r="E92" s="12" t="s">
        <v>354</v>
      </c>
      <c r="G92">
        <v>2026</v>
      </c>
      <c r="H92">
        <v>1</v>
      </c>
      <c r="I92">
        <v>1</v>
      </c>
      <c r="N92">
        <v>1</v>
      </c>
      <c r="O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Z92">
        <v>1</v>
      </c>
      <c r="AA92">
        <v>1</v>
      </c>
      <c r="AB92">
        <v>1</v>
      </c>
      <c r="AD92">
        <v>1</v>
      </c>
      <c r="AF92">
        <f t="shared" si="24"/>
        <v>1</v>
      </c>
      <c r="AG92" t="str">
        <f t="shared" si="25"/>
        <v>charpentier-etal-2025-findings</v>
      </c>
      <c r="AH92" t="str">
        <f t="shared" si="26"/>
        <v/>
      </c>
      <c r="AI92" t="str">
        <f t="shared" si="27"/>
        <v/>
      </c>
      <c r="AK92">
        <f t="shared" si="28"/>
        <v>1</v>
      </c>
    </row>
    <row r="93" spans="1:37">
      <c r="A93">
        <f t="shared" si="23"/>
        <v>92</v>
      </c>
      <c r="B93" t="str" cm="1">
        <f t="array" ref="B93">_xlfn.IFS(ISBLANK(D93),"",ISBLANK(C93),"no venue",ISBLANK(E93),"no bib",ISNUMBER(SEARCH("xiv", C93)),"arxiv",SUM(I93:AA93)&lt;3,"no categories",TRUE,"")</f>
        <v>no bib</v>
      </c>
      <c r="C93" t="s">
        <v>342</v>
      </c>
      <c r="D93" s="2" t="s">
        <v>356</v>
      </c>
      <c r="G93">
        <v>2026</v>
      </c>
      <c r="H93">
        <v>1</v>
      </c>
      <c r="I93">
        <v>1</v>
      </c>
      <c r="L93">
        <v>1</v>
      </c>
      <c r="N93">
        <v>1</v>
      </c>
      <c r="P93">
        <v>1</v>
      </c>
      <c r="Q93">
        <v>1</v>
      </c>
      <c r="S93">
        <v>1</v>
      </c>
      <c r="Y93">
        <v>1</v>
      </c>
      <c r="Z93">
        <v>1</v>
      </c>
      <c r="AA93">
        <v>1</v>
      </c>
      <c r="AD93">
        <v>1</v>
      </c>
      <c r="AF93">
        <f t="shared" si="24"/>
        <v>1</v>
      </c>
      <c r="AG93">
        <f t="shared" si="25"/>
        <v>0</v>
      </c>
      <c r="AH93" t="str">
        <f t="shared" si="26"/>
        <v/>
      </c>
      <c r="AI93">
        <f t="shared" si="27"/>
        <v>0</v>
      </c>
      <c r="AK93">
        <f t="shared" si="28"/>
        <v>0</v>
      </c>
    </row>
    <row r="94" spans="1:37">
      <c r="A94">
        <f t="shared" si="23"/>
        <v>93</v>
      </c>
      <c r="B94" t="str" cm="1">
        <f t="array" ref="B94">_xlfn.IFS(ISBLANK(D94),"",ISBLANK(C94),"no venue",ISBLANK(E94),"no bib",ISNUMBER(SEARCH("xiv", C94)),"arxiv",SUM(I94:AA94)&lt;3,"no categories",TRUE,"")</f>
        <v>arxiv</v>
      </c>
      <c r="C94" t="s">
        <v>342</v>
      </c>
      <c r="D94" s="9" t="s">
        <v>358</v>
      </c>
      <c r="E94" s="12" t="s">
        <v>357</v>
      </c>
      <c r="G94">
        <v>2026</v>
      </c>
      <c r="H94">
        <v>1</v>
      </c>
      <c r="O94">
        <v>1</v>
      </c>
      <c r="R94">
        <v>1</v>
      </c>
      <c r="S94">
        <v>1</v>
      </c>
      <c r="U94">
        <v>1</v>
      </c>
      <c r="W94">
        <v>1</v>
      </c>
      <c r="Y94">
        <v>1</v>
      </c>
      <c r="AA94">
        <v>1</v>
      </c>
      <c r="AD94">
        <v>1</v>
      </c>
      <c r="AF94">
        <f t="shared" si="24"/>
        <v>0</v>
      </c>
      <c r="AG94" t="str">
        <f t="shared" si="25"/>
        <v/>
      </c>
      <c r="AH94" t="str">
        <f t="shared" si="26"/>
        <v>suarez2026commonlid</v>
      </c>
      <c r="AI94" t="str">
        <f t="shared" si="27"/>
        <v>suarez2026commonlid</v>
      </c>
      <c r="AK94">
        <f t="shared" si="28"/>
        <v>0</v>
      </c>
    </row>
    <row r="95" spans="1:37">
      <c r="A95">
        <f t="shared" si="23"/>
        <v>94</v>
      </c>
      <c r="B95" t="str" cm="1">
        <f t="array" ref="B95">_xlfn.IFS(ISBLANK(D95),"",ISBLANK(C95),"no venue",ISBLANK(E95),"no bib",ISNUMBER(SEARCH("xiv", C95)),"arxiv",SUM(I95:AA95)&lt;3,"no categories",TRUE,"")</f>
        <v>arxiv</v>
      </c>
      <c r="C95" t="s">
        <v>342</v>
      </c>
      <c r="D95" s="2" t="s">
        <v>359</v>
      </c>
      <c r="E95" s="12" t="s">
        <v>360</v>
      </c>
      <c r="G95">
        <v>2026</v>
      </c>
      <c r="H95">
        <v>1</v>
      </c>
      <c r="K95">
        <v>1</v>
      </c>
      <c r="P95">
        <v>1</v>
      </c>
      <c r="Q95">
        <v>1</v>
      </c>
      <c r="S95">
        <v>1</v>
      </c>
      <c r="W95">
        <v>1</v>
      </c>
      <c r="Y95">
        <v>1</v>
      </c>
      <c r="Z95">
        <v>1</v>
      </c>
      <c r="AA95">
        <v>1</v>
      </c>
      <c r="AD95">
        <v>1</v>
      </c>
      <c r="AF95">
        <f t="shared" si="24"/>
        <v>1</v>
      </c>
      <c r="AG95" t="str">
        <f t="shared" si="25"/>
        <v>rahamim2026will</v>
      </c>
      <c r="AH95" t="str">
        <f t="shared" si="26"/>
        <v>rahamim2026will</v>
      </c>
      <c r="AI95" t="str">
        <f t="shared" si="27"/>
        <v>rahamim2026will</v>
      </c>
      <c r="AK95">
        <f t="shared" si="28"/>
        <v>0</v>
      </c>
    </row>
    <row r="96" spans="1:37">
      <c r="A96">
        <f t="shared" si="23"/>
        <v>95</v>
      </c>
      <c r="B96" t="str" cm="1">
        <f t="array" ref="B96">_xlfn.IFS(ISBLANK(D96),"",ISBLANK(C96),"no venue",ISBLANK(E96),"no bib",ISNUMBER(SEARCH("xiv", C96)),"arxiv",SUM(I96:AA96)&lt;3,"no categories",TRUE,"")</f>
        <v>arxiv</v>
      </c>
      <c r="C96" t="s">
        <v>342</v>
      </c>
      <c r="D96" s="2" t="s">
        <v>361</v>
      </c>
      <c r="E96" s="12" t="s">
        <v>364</v>
      </c>
      <c r="G96">
        <v>2026</v>
      </c>
      <c r="H96">
        <v>1</v>
      </c>
      <c r="O96">
        <v>1</v>
      </c>
      <c r="Q96">
        <v>1</v>
      </c>
      <c r="T96">
        <v>1</v>
      </c>
      <c r="AA96">
        <v>1</v>
      </c>
      <c r="AD96">
        <v>1</v>
      </c>
      <c r="AF96">
        <f t="shared" si="24"/>
        <v>1</v>
      </c>
      <c r="AG96" t="str">
        <f t="shared" si="25"/>
        <v>ashury2026errormap</v>
      </c>
      <c r="AH96" t="str">
        <f t="shared" si="26"/>
        <v/>
      </c>
      <c r="AI96" t="str">
        <f t="shared" si="27"/>
        <v/>
      </c>
      <c r="AK96">
        <f t="shared" si="28"/>
        <v>0</v>
      </c>
    </row>
    <row r="97" spans="1:37">
      <c r="A97">
        <f t="shared" si="23"/>
        <v>96</v>
      </c>
      <c r="B97" t="str" cm="1">
        <f t="array" ref="B97">_xlfn.IFS(ISBLANK(D97),"",ISBLANK(C97),"no venue",ISBLANK(E97),"no bib",ISNUMBER(SEARCH("xiv", C97)),"arxiv",SUM(I97:AA97)&lt;3,"no categories",TRUE,"")</f>
        <v>arxiv</v>
      </c>
      <c r="C97" t="s">
        <v>342</v>
      </c>
      <c r="D97" s="2" t="s">
        <v>362</v>
      </c>
      <c r="E97" s="12" t="s">
        <v>363</v>
      </c>
      <c r="G97">
        <v>2026</v>
      </c>
      <c r="H97">
        <v>1</v>
      </c>
      <c r="O97">
        <v>1</v>
      </c>
      <c r="P97">
        <v>1</v>
      </c>
      <c r="T97">
        <v>1</v>
      </c>
      <c r="X97">
        <v>1</v>
      </c>
      <c r="AA97">
        <v>1</v>
      </c>
      <c r="AD97">
        <v>1</v>
      </c>
      <c r="AF97">
        <f t="shared" si="24"/>
        <v>1</v>
      </c>
      <c r="AG97" t="str">
        <f t="shared" si="25"/>
        <v>ashury2026robustness</v>
      </c>
      <c r="AH97" t="str">
        <f t="shared" si="26"/>
        <v/>
      </c>
      <c r="AI97" t="str">
        <f t="shared" si="27"/>
        <v/>
      </c>
      <c r="AK97">
        <f t="shared" si="28"/>
        <v>0</v>
      </c>
    </row>
    <row r="98" spans="1:37">
      <c r="A98">
        <f t="shared" si="23"/>
        <v>97</v>
      </c>
      <c r="B98" t="str" cm="1">
        <f t="array" ref="B98">_xlfn.IFS(ISBLANK(D99),"",ISBLANK(C98),"no venue",ISBLANK(#REF!),"no bib",ISNUMBER(SEARCH("xiv", C98)),"arxiv",SUM(I98:AA98)&lt;3,"no categories",TRUE,"")</f>
        <v>arxiv</v>
      </c>
      <c r="C98" t="s">
        <v>342</v>
      </c>
      <c r="D98" s="2" t="s">
        <v>369</v>
      </c>
      <c r="E98" s="12" t="s">
        <v>370</v>
      </c>
      <c r="G98">
        <v>2026</v>
      </c>
      <c r="AF98">
        <f t="shared" si="24"/>
        <v>0</v>
      </c>
      <c r="AG98" t="str">
        <f>IF(AF98,#REF!,"")</f>
        <v/>
      </c>
      <c r="AH98" t="str">
        <f>IF(W98,#REF!,"")</f>
        <v/>
      </c>
      <c r="AI98" t="str">
        <f>IF(Y98,#REF!,"")</f>
        <v/>
      </c>
      <c r="AK98">
        <f t="shared" si="28"/>
        <v>0</v>
      </c>
    </row>
    <row r="99" spans="1:37" ht="17">
      <c r="A99">
        <f t="shared" si="23"/>
        <v>98</v>
      </c>
      <c r="B99" t="str" cm="1">
        <f t="array" ref="B99">_xlfn.IFS(ISBLANK(#REF!),"",ISBLANK(C99),"no venue",ISBLANK(#REF!),"no bib",ISNUMBER(SEARCH("xiv", C99)),"arxiv",SUM(I99:AA99)&lt;3,"no categories",TRUE,"")</f>
        <v>arxiv</v>
      </c>
      <c r="C99" t="s">
        <v>342</v>
      </c>
      <c r="D99" s="2" t="s">
        <v>368</v>
      </c>
      <c r="E99" s="12" t="s">
        <v>371</v>
      </c>
      <c r="G99">
        <v>2026</v>
      </c>
      <c r="AG99" s="8"/>
    </row>
    <row r="100" spans="1:37" ht="35">
      <c r="A100">
        <f t="shared" si="23"/>
        <v>99</v>
      </c>
      <c r="B100" t="str" cm="1">
        <f t="array" ref="B100">_xlfn.IFS(ISBLANK(D100),"",ISBLANK(C100),"no venue",ISBLANK(E100),"no bib",ISNUMBER(SEARCH("xiv", C100)),"arxiv",SUM(I100:AA100)&lt;3,"no categories",TRUE,"")</f>
        <v>arxiv</v>
      </c>
      <c r="C100" t="s">
        <v>342</v>
      </c>
      <c r="D100" s="16" t="s">
        <v>372</v>
      </c>
      <c r="E100" s="12" t="s">
        <v>373</v>
      </c>
      <c r="G100">
        <v>2026</v>
      </c>
      <c r="AG100" s="8"/>
    </row>
    <row r="101" spans="1:37" ht="17">
      <c r="A101">
        <f t="shared" si="23"/>
        <v>100</v>
      </c>
      <c r="B101" t="str" cm="1">
        <f t="array" ref="B101">_xlfn.IFS(ISBLANK(D101),"",ISBLANK(C101),"no venue",ISBLANK(E101),"no bib",ISNUMBER(SEARCH("xiv", C101)),"arxiv",SUM(I101:AA101)&lt;3,"no categories",TRUE,"")</f>
        <v/>
      </c>
      <c r="AG101" s="8"/>
    </row>
    <row r="102" spans="1:37" ht="17">
      <c r="A102">
        <f t="shared" si="23"/>
        <v>101</v>
      </c>
      <c r="B102" t="str" cm="1">
        <f t="array" ref="B102">_xlfn.IFS(ISBLANK(D102),"",ISBLANK(C102),"no venue",ISBLANK(E102),"no bib",ISNUMBER(SEARCH("xiv", C102)),"arxiv",SUM(I102:AA102)&lt;3,"no categories",TRUE,"")</f>
        <v/>
      </c>
      <c r="AG102" s="8"/>
    </row>
    <row r="103" spans="1:37" ht="17">
      <c r="A103">
        <f t="shared" si="23"/>
        <v>102</v>
      </c>
      <c r="B103" t="str" cm="1">
        <f t="array" ref="B103">_xlfn.IFS(ISBLANK(D103),"",ISBLANK(C103),"no venue",ISBLANK(E103),"no bib",ISNUMBER(SEARCH("xiv", C103)),"arxiv",SUM(I103:AA103)&lt;3,"no categories",TRUE,"")</f>
        <v/>
      </c>
      <c r="AG103" s="8"/>
    </row>
    <row r="104" spans="1:37" ht="17">
      <c r="A104">
        <f t="shared" si="23"/>
        <v>103</v>
      </c>
      <c r="B104" t="str" cm="1">
        <f t="array" ref="B104">_xlfn.IFS(ISBLANK(D104),"",ISBLANK(C104),"no venue",ISBLANK(E104),"no bib",ISNUMBER(SEARCH("xiv", C104)),"arxiv",SUM(I104:AA104)&lt;3,"no categories",TRUE,"")</f>
        <v/>
      </c>
      <c r="AG104" s="8"/>
    </row>
    <row r="105" spans="1:37" ht="17">
      <c r="A105">
        <f t="shared" si="23"/>
        <v>104</v>
      </c>
      <c r="B105" t="str" cm="1">
        <f t="array" ref="B105">_xlfn.IFS(ISBLANK(D105),"",ISBLANK(C105),"no venue",ISBLANK(E105),"no bib",ISNUMBER(SEARCH("xiv", C105)),"arxiv",SUM(I105:AA105)&lt;3,"no categories",TRUE,"")</f>
        <v/>
      </c>
      <c r="AG105" s="8"/>
    </row>
    <row r="106" spans="1:37" ht="17">
      <c r="A106">
        <f t="shared" si="23"/>
        <v>105</v>
      </c>
      <c r="B106" t="str" cm="1">
        <f t="array" ref="B106">_xlfn.IFS(ISBLANK(D106),"",ISBLANK(C106),"no venue",ISBLANK(E106),"no bib",ISNUMBER(SEARCH("xiv", C106)),"arxiv",SUM(I106:AA106)&lt;3,"no categories",TRUE,"")</f>
        <v/>
      </c>
      <c r="AG106" s="8"/>
    </row>
    <row r="107" spans="1:37" ht="17">
      <c r="A107">
        <f t="shared" si="23"/>
        <v>106</v>
      </c>
      <c r="B107" t="str" cm="1">
        <f t="array" ref="B107">_xlfn.IFS(ISBLANK(D107),"",ISBLANK(C107),"no venue",ISBLANK(E107),"no bib",ISNUMBER(SEARCH("xiv", C107)),"arxiv",SUM(I107:AA107)&lt;3,"no categories",TRUE,"")</f>
        <v/>
      </c>
      <c r="AG107" s="8"/>
    </row>
    <row r="108" spans="1:37" ht="17">
      <c r="A108">
        <f t="shared" si="23"/>
        <v>107</v>
      </c>
      <c r="B108" t="str" cm="1">
        <f t="array" ref="B108">_xlfn.IFS(ISBLANK(D108),"",ISBLANK(C108),"no venue",ISBLANK(E108),"no bib",ISNUMBER(SEARCH("xiv", C108)),"arxiv",SUM(I108:AA108)&lt;3,"no categories",TRUE,"")</f>
        <v/>
      </c>
      <c r="AG108" s="8"/>
    </row>
    <row r="109" spans="1:37" ht="17">
      <c r="A109">
        <f t="shared" si="23"/>
        <v>108</v>
      </c>
      <c r="B109" t="str" cm="1">
        <f t="array" ref="B109">_xlfn.IFS(ISBLANK(D109),"",ISBLANK(C109),"no venue",ISBLANK(E109),"no bib",ISNUMBER(SEARCH("xiv", C109)),"arxiv",SUM(I109:AA109)&lt;3,"no categories",TRUE,"")</f>
        <v/>
      </c>
      <c r="AG109" s="8"/>
    </row>
    <row r="110" spans="1:37" ht="17">
      <c r="A110">
        <f t="shared" si="23"/>
        <v>109</v>
      </c>
      <c r="B110" t="str" cm="1">
        <f t="array" ref="B110">_xlfn.IFS(ISBLANK(D110),"",ISBLANK(C110),"no venue",ISBLANK(E110),"no bib",ISNUMBER(SEARCH("xiv", C110)),"arxiv",SUM(I110:AA110)&lt;3,"no categories",TRUE,"")</f>
        <v/>
      </c>
      <c r="AG110" s="8"/>
    </row>
    <row r="111" spans="1:37" ht="17">
      <c r="A111">
        <f t="shared" si="23"/>
        <v>110</v>
      </c>
      <c r="B111" t="str" cm="1">
        <f t="array" ref="B111">_xlfn.IFS(ISBLANK(D111),"",ISBLANK(C111),"no venue",ISBLANK(E111),"no bib",ISNUMBER(SEARCH("xiv", C111)),"arxiv",SUM(I111:AA111)&lt;3,"no categories",TRUE,"")</f>
        <v/>
      </c>
      <c r="AG111" s="8"/>
    </row>
    <row r="112" spans="1:37" ht="17">
      <c r="A112">
        <f t="shared" si="23"/>
        <v>111</v>
      </c>
      <c r="B112" t="str" cm="1">
        <f t="array" ref="B112">_xlfn.IFS(ISBLANK(D112),"",ISBLANK(C112),"no venue",ISBLANK(E112),"no bib",ISNUMBER(SEARCH("xiv", C112)),"arxiv",SUM(I112:AA112)&lt;3,"no categories",TRUE,"")</f>
        <v/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C113)),"arxiv",SUM(I113:AA113)&lt;3,"no categories",TRUE,"")</f>
        <v/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C114)),"arxiv",SUM(I114:AA114)&lt;3,"no categories",TRUE,"")</f>
        <v/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C115)),"arxiv",SUM(I115:AA115)&lt;3,"no categories",TRUE,"")</f>
        <v/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C116)),"arxiv",SUM(I116:AA116)&lt;3,"no categories",TRUE,"")</f>
        <v/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C117)),"arxiv",SUM(I117:AA117)&lt;3,"no categories",TRUE,"")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C118)),"arxiv",SUM(I118:AA118)&lt;3,"no categories",TRUE,"")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C119)),"arxiv",SUM(I119:AA119)&lt;3,"no categories",TRUE,"")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C120)),"arxiv",SUM(I120:AA120)&lt;3,"no categories",TRUE,"")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C121)),"arxiv",SUM(I121:AA121)&lt;3,"no categories",TRUE,"")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C122)),"arxiv",SUM(I122:AA122)&lt;3,"no categories",TRUE,"")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C123)),"arxiv",SUM(I123:AA123)&lt;3,"no categories",TRUE,"")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C124)),"arxiv",SUM(I124:AA124)&lt;3,"no categories",TRUE,"")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C125)),"arxiv",SUM(I125:AA125)&lt;3,"no categories",TRUE,"")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C126)),"arxiv",SUM(I126:AA126)&lt;3,"no categories",TRUE,"")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C127)),"arxiv",SUM(I127:AA127)&lt;3,"no categories",TRUE,"")</f>
        <v/>
      </c>
      <c r="AG127" s="8"/>
    </row>
    <row r="128" spans="1:33" ht="17"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7" spans="7:36">
      <c r="G137" s="1" t="s">
        <v>179</v>
      </c>
      <c r="H137">
        <f>SUM(H2:H79)</f>
        <v>77</v>
      </c>
      <c r="I137">
        <f t="shared" ref="I137:N137" si="30">SUM(I2:I78)</f>
        <v>6</v>
      </c>
      <c r="J137">
        <f t="shared" si="30"/>
        <v>5</v>
      </c>
      <c r="K137">
        <f t="shared" si="30"/>
        <v>11</v>
      </c>
      <c r="L137">
        <f t="shared" si="30"/>
        <v>2</v>
      </c>
      <c r="M137">
        <f t="shared" si="30"/>
        <v>4</v>
      </c>
      <c r="N137">
        <f t="shared" si="30"/>
        <v>4</v>
      </c>
      <c r="O137">
        <f>SUM(O2:O79)</f>
        <v>39</v>
      </c>
      <c r="P137">
        <f>SUM(P2:P78)</f>
        <v>42</v>
      </c>
      <c r="Q137">
        <f>SUM(Q2:Q78)</f>
        <v>43</v>
      </c>
      <c r="R137">
        <f>SUM(R2:R78)</f>
        <v>21</v>
      </c>
      <c r="S137">
        <f>SUM(S2:S78)</f>
        <v>32</v>
      </c>
      <c r="T137">
        <f>SUM(T2:T79)</f>
        <v>40</v>
      </c>
      <c r="U137">
        <f>SUM(U2:U78)</f>
        <v>15</v>
      </c>
      <c r="V137">
        <f>SUM(V2:V78)</f>
        <v>31</v>
      </c>
      <c r="W137">
        <f>SUM(W2:W79)</f>
        <v>33</v>
      </c>
      <c r="X137">
        <f>SUM(X2:X78)</f>
        <v>35</v>
      </c>
      <c r="Y137">
        <f>SUM(Y2:Y79)</f>
        <v>35</v>
      </c>
      <c r="Z137">
        <f>SUM(Z2:Z78)</f>
        <v>40</v>
      </c>
      <c r="AA137">
        <f>SUM(AA2:AA78)</f>
        <v>74</v>
      </c>
      <c r="AD137">
        <f>COUNT(A2:A78)</f>
        <v>77</v>
      </c>
      <c r="AE137">
        <f>SUM(AE2:AE79)</f>
        <v>7</v>
      </c>
      <c r="AF137">
        <f>SUM(AF2:AF79)</f>
        <v>63</v>
      </c>
      <c r="AG137" t="str">
        <f>IF(AF137,E80,"")</f>
        <v>ashurytahan2025mightytorrbenchmarktable</v>
      </c>
      <c r="AH137" t="str">
        <f>IF(W137,E80,"")</f>
        <v>ashurytahan2025mightytorrbenchmarktable</v>
      </c>
      <c r="AI137" t="str">
        <f>IF(Y137,E80,"")</f>
        <v>ashurytahan2025mightytorrbenchmarktable</v>
      </c>
      <c r="AJ137" t="str">
        <f>IF(AE137,E80,"")</f>
        <v>ashurytahan2025mightytorrbenchmarktable</v>
      </c>
    </row>
    <row r="138" spans="7:36">
      <c r="G138" s="1" t="s">
        <v>180</v>
      </c>
      <c r="H138" s="7">
        <f t="shared" ref="H138:AA138" si="31">H137/$AD$137</f>
        <v>1</v>
      </c>
      <c r="I138" s="7">
        <f t="shared" si="31"/>
        <v>7.792207792207792E-2</v>
      </c>
      <c r="J138" s="7">
        <f t="shared" si="31"/>
        <v>6.4935064935064929E-2</v>
      </c>
      <c r="K138" s="7">
        <f t="shared" si="31"/>
        <v>0.14285714285714285</v>
      </c>
      <c r="L138" s="7">
        <f t="shared" si="31"/>
        <v>2.5974025974025976E-2</v>
      </c>
      <c r="M138" s="7">
        <f t="shared" si="31"/>
        <v>5.1948051948051951E-2</v>
      </c>
      <c r="N138" s="7">
        <f t="shared" si="31"/>
        <v>5.1948051948051951E-2</v>
      </c>
      <c r="O138" s="7">
        <f t="shared" si="31"/>
        <v>0.50649350649350644</v>
      </c>
      <c r="P138" s="7">
        <f t="shared" si="31"/>
        <v>0.54545454545454541</v>
      </c>
      <c r="Q138" s="7">
        <f t="shared" si="31"/>
        <v>0.55844155844155841</v>
      </c>
      <c r="R138" s="7">
        <f t="shared" si="31"/>
        <v>0.27272727272727271</v>
      </c>
      <c r="S138" s="7">
        <f t="shared" si="31"/>
        <v>0.41558441558441561</v>
      </c>
      <c r="T138" s="7">
        <f t="shared" si="31"/>
        <v>0.51948051948051943</v>
      </c>
      <c r="U138" s="7">
        <f t="shared" si="31"/>
        <v>0.19480519480519481</v>
      </c>
      <c r="V138" s="7">
        <f t="shared" si="31"/>
        <v>0.40259740259740262</v>
      </c>
      <c r="W138" s="7">
        <f t="shared" si="31"/>
        <v>0.42857142857142855</v>
      </c>
      <c r="X138" s="7">
        <f t="shared" si="31"/>
        <v>0.45454545454545453</v>
      </c>
      <c r="Y138" s="7">
        <f t="shared" si="31"/>
        <v>0.45454545454545453</v>
      </c>
      <c r="Z138" s="7">
        <f t="shared" si="31"/>
        <v>0.51948051948051943</v>
      </c>
      <c r="AA138" s="7">
        <f t="shared" si="31"/>
        <v>0.96103896103896103</v>
      </c>
      <c r="AB138" s="7"/>
      <c r="AC138" s="7"/>
      <c r="AD138">
        <f>COUNT(A3:A80)</f>
        <v>78</v>
      </c>
      <c r="AG138" t="str">
        <f>IF(AF138,#REF!,"")</f>
        <v/>
      </c>
      <c r="AH138" t="e">
        <f>IF(W138,#REF!,"")</f>
        <v>#REF!</v>
      </c>
      <c r="AI138" t="e">
        <f>IF(Y138,#REF!,"")</f>
        <v>#REF!</v>
      </c>
      <c r="AJ138" t="str">
        <f>IF(AE138,#REF!,"")</f>
        <v/>
      </c>
    </row>
  </sheetData>
  <autoFilter ref="A1:AK78" xr:uid="{92277768-849A-7540-AC05-5E1BE041CC8E}"/>
  <conditionalFormatting sqref="B2:B1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  <hyperlink ref="D90" r:id="rId44" display="https://scholar.google.com/citations?view_op=view_citation&amp;hl=en&amp;user=8b8IhUYAAAAJ&amp;sortby=pubdate&amp;citation_for_view=8b8IhUYAAAAJ:738O_yMBCRsC" xr:uid="{7F06036E-46CB-7B4A-B5A9-01BD9FEB494D}"/>
    <hyperlink ref="D91" r:id="rId45" display="https://scholar.google.com/citations?view_op=view_citation&amp;hl=en&amp;user=8b8IhUYAAAAJ&amp;sortby=pubdate&amp;citation_for_view=8b8IhUYAAAAJ:K3LRdlH-MEoC" xr:uid="{E3BF1F50-9A61-BD47-80DD-3E7FA5F51488}"/>
    <hyperlink ref="D92" r:id="rId46" display="https://scholar.google.com/citations?view_op=view_citation&amp;hl=en&amp;user=8b8IhUYAAAAJ&amp;sortby=pubdate&amp;citation_for_view=8b8IhUYAAAAJ:tOudhMTPpwUC" xr:uid="{A1EF67F5-E28E-A14D-A57D-7545932AF158}"/>
    <hyperlink ref="C92" r:id="rId47" display="BabyLM@EMNLP" xr:uid="{D8DDEF9E-B21E-CD40-A406-DFC0EB019B6A}"/>
    <hyperlink ref="D93" r:id="rId48" display="https://scholar.google.com/citations?view_op=view_citation&amp;hl=en&amp;user=8b8IhUYAAAAJ&amp;sortby=pubdate&amp;citation_for_view=8b8IhUYAAAAJ:4fKUyHm3Qg0C" xr:uid="{63AC3719-785D-4045-842F-51673617DEA4}"/>
    <hyperlink ref="D95" r:id="rId49" display="https://scholar.google.com/citations?view_op=view_citation&amp;hl=en&amp;user=8b8IhUYAAAAJ&amp;sortby=pubdate&amp;citation_for_view=8b8IhUYAAAAJ:B3FOqHPlNUQC" xr:uid="{4655ADB8-FEB9-6148-99F7-03736D7EB3B9}"/>
    <hyperlink ref="D96" r:id="rId50" display="https://scholar.google.com/citations?view_op=view_citation&amp;hl=en&amp;user=8b8IhUYAAAAJ&amp;sortby=pubdate&amp;citation_for_view=8b8IhUYAAAAJ:sSrBHYA8nusC" xr:uid="{94FB61E5-5F04-5645-A99F-119289B9E81D}"/>
    <hyperlink ref="D97" r:id="rId51" display="https://scholar.google.com/citations?view_op=view_citation&amp;hl=en&amp;user=8b8IhUYAAAAJ&amp;sortby=pubdate&amp;citation_for_view=8b8IhUYAAAAJ:5Ul4iDaHHb8C" xr:uid="{AC018292-7C41-B947-89FB-2E8002093149}"/>
    <hyperlink ref="D99" r:id="rId52" display="https://scholar.google.com/citations?view_op=view_citation&amp;hl=en&amp;user=8b8IhUYAAAAJ&amp;sortby=pubdate&amp;citation_for_view=8b8IhUYAAAAJ:eflP2zaiRacC" xr:uid="{60D0073E-0896-9C4A-A723-621180E109EC}"/>
    <hyperlink ref="D98" r:id="rId53" display="https://scholar.google.com/citations?view_op=view_citation&amp;hl=en&amp;user=8b8IhUYAAAAJ&amp;sortby=pubdate&amp;citation_for_view=8b8IhUYAAAAJ:VOx2b1Wkg3QC" xr:uid="{1B316D5B-F142-5C4C-8594-5D8D2817925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2026-03-02T22:17:00Z</dcterms:modified>
</cp:coreProperties>
</file>