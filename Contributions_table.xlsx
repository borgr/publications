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46A956C6-95D9-6B41-81F2-13B269F931CD}" xr6:coauthVersionLast="47" xr6:coauthVersionMax="47" xr10:uidLastSave="{00000000-0000-0000-0000-000000000000}"/>
  <bookViews>
    <workbookView xWindow="0" yWindow="860" windowWidth="34560" windowHeight="1992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 a="1"/>
  <c r="B2" i="1"/>
  <c r="B3" i="1" a="1"/>
  <c r="B3" i="1" s="1"/>
  <c r="B4" i="1" a="1"/>
  <c r="B4" i="1"/>
  <c r="B5" i="1" a="1"/>
  <c r="B5" i="1" s="1"/>
  <c r="B6" i="1" a="1"/>
  <c r="B6" i="1" s="1"/>
  <c r="B7" i="1" a="1"/>
  <c r="B7" i="1"/>
  <c r="B8" i="1" a="1"/>
  <c r="B8" i="1" s="1"/>
  <c r="B9" i="1" a="1"/>
  <c r="B9" i="1"/>
  <c r="B10" i="1" a="1"/>
  <c r="B10" i="1" s="1"/>
  <c r="B11" i="1" a="1"/>
  <c r="B11" i="1"/>
  <c r="B12" i="1" a="1"/>
  <c r="B12" i="1"/>
  <c r="B13" i="1" a="1"/>
  <c r="B13" i="1" s="1"/>
  <c r="B14" i="1" a="1"/>
  <c r="B14" i="1"/>
  <c r="B15" i="1" a="1"/>
  <c r="B15" i="1" s="1"/>
  <c r="B16" i="1" a="1"/>
  <c r="B16" i="1" s="1"/>
  <c r="B17" i="1" a="1"/>
  <c r="B17" i="1"/>
  <c r="B18" i="1" a="1"/>
  <c r="B18" i="1" s="1"/>
  <c r="B19" i="1" a="1"/>
  <c r="B19" i="1"/>
  <c r="B28" i="1" a="1"/>
  <c r="B28" i="1" s="1"/>
  <c r="B29" i="1" a="1"/>
  <c r="B29" i="1"/>
  <c r="B30" i="1" a="1"/>
  <c r="B30" i="1" s="1"/>
  <c r="B31" i="1" a="1"/>
  <c r="B31" i="1" s="1"/>
  <c r="B32" i="1" a="1"/>
  <c r="B32" i="1"/>
  <c r="B33" i="1" a="1"/>
  <c r="B33" i="1" s="1"/>
  <c r="B34" i="1" a="1"/>
  <c r="B34" i="1"/>
  <c r="B35" i="1" a="1"/>
  <c r="B35" i="1" s="1"/>
  <c r="B36" i="1" a="1"/>
  <c r="B36" i="1" s="1"/>
  <c r="B37" i="1" a="1"/>
  <c r="B37" i="1"/>
  <c r="B38" i="1" a="1"/>
  <c r="B38" i="1" s="1"/>
  <c r="B39" i="1" a="1"/>
  <c r="B39" i="1"/>
  <c r="B40" i="1" a="1"/>
  <c r="B40" i="1" s="1"/>
  <c r="B41" i="1" a="1"/>
  <c r="B41" i="1" s="1"/>
  <c r="B42" i="1" a="1"/>
  <c r="B42" i="1"/>
  <c r="B43" i="1" a="1"/>
  <c r="B43" i="1" s="1"/>
  <c r="B44" i="1" a="1"/>
  <c r="B44" i="1"/>
  <c r="B45" i="1" a="1"/>
  <c r="B45" i="1" s="1"/>
  <c r="B46" i="1" a="1"/>
  <c r="B46" i="1" s="1"/>
  <c r="B47" i="1" a="1"/>
  <c r="B47" i="1"/>
  <c r="B48" i="1" a="1"/>
  <c r="B48" i="1" s="1"/>
  <c r="B49" i="1" a="1"/>
  <c r="B49" i="1"/>
  <c r="B50" i="1" a="1"/>
  <c r="B50" i="1" s="1"/>
  <c r="B51" i="1" a="1"/>
  <c r="B51" i="1" s="1"/>
  <c r="B52" i="1" a="1"/>
  <c r="B52" i="1"/>
  <c r="B53" i="1" a="1"/>
  <c r="B53" i="1" s="1"/>
  <c r="B54" i="1" a="1"/>
  <c r="B54" i="1"/>
  <c r="B55" i="1" a="1"/>
  <c r="B55" i="1" s="1"/>
  <c r="B56" i="1" a="1"/>
  <c r="B56" i="1" s="1"/>
  <c r="B57" i="1" a="1"/>
  <c r="B57" i="1"/>
  <c r="B58" i="1" a="1"/>
  <c r="B58" i="1" s="1"/>
  <c r="B59" i="1" a="1"/>
  <c r="B59" i="1"/>
  <c r="B60" i="1" a="1"/>
  <c r="B60" i="1" s="1"/>
  <c r="B61" i="1" a="1"/>
  <c r="B61" i="1" s="1"/>
  <c r="B62" i="1" a="1"/>
  <c r="B62" i="1"/>
  <c r="B63" i="1" a="1"/>
  <c r="B63" i="1" s="1"/>
  <c r="B64" i="1" a="1"/>
  <c r="B64" i="1"/>
  <c r="B65" i="1" a="1"/>
  <c r="B65" i="1" s="1"/>
  <c r="B66" i="1" a="1"/>
  <c r="B66" i="1" s="1"/>
  <c r="B67" i="1" a="1"/>
  <c r="B67" i="1"/>
  <c r="B68" i="1" a="1"/>
  <c r="B68" i="1" s="1"/>
  <c r="B69" i="1" a="1"/>
  <c r="B69" i="1"/>
  <c r="B70" i="1" a="1"/>
  <c r="B70" i="1" s="1"/>
  <c r="B71" i="1" a="1"/>
  <c r="B71" i="1" s="1"/>
  <c r="B72" i="1" a="1"/>
  <c r="B72" i="1"/>
  <c r="B73" i="1" a="1"/>
  <c r="B73" i="1" s="1"/>
  <c r="B74" i="1" a="1"/>
  <c r="B74" i="1"/>
  <c r="B76" i="1" a="1"/>
  <c r="B76" i="1" s="1"/>
  <c r="B77" i="1" a="1"/>
  <c r="B77" i="1"/>
  <c r="B78" i="1" a="1"/>
  <c r="B78" i="1" s="1"/>
  <c r="B79" i="1" a="1"/>
  <c r="B79" i="1"/>
  <c r="B80" i="1" a="1"/>
  <c r="B80" i="1" s="1"/>
  <c r="B81" i="1" a="1"/>
  <c r="B81" i="1" s="1"/>
  <c r="B82" i="1" a="1"/>
  <c r="B82" i="1"/>
  <c r="B83" i="1" a="1"/>
  <c r="B83" i="1" s="1"/>
  <c r="B84" i="1" a="1"/>
  <c r="B84" i="1"/>
  <c r="B85" i="1" a="1"/>
  <c r="B85" i="1" s="1"/>
  <c r="B87" i="1" a="1"/>
  <c r="B87" i="1" s="1"/>
  <c r="B88" i="1" a="1"/>
  <c r="B88" i="1" s="1"/>
  <c r="B89" i="1" a="1"/>
  <c r="B89" i="1" s="1"/>
  <c r="B90" i="1" a="1"/>
  <c r="B90" i="1"/>
  <c r="B91" i="1" a="1"/>
  <c r="B91" i="1"/>
  <c r="B92" i="1" a="1"/>
  <c r="B92" i="1" s="1"/>
  <c r="B93" i="1" a="1"/>
  <c r="B93" i="1" s="1"/>
  <c r="B94" i="1" a="1"/>
  <c r="B94" i="1"/>
  <c r="B95" i="1" a="1"/>
  <c r="B95" i="1"/>
  <c r="B96" i="1" a="1"/>
  <c r="B96" i="1"/>
  <c r="B97" i="1" a="1"/>
  <c r="B97" i="1" s="1"/>
  <c r="B98" i="1" a="1"/>
  <c r="B98" i="1" s="1"/>
  <c r="B99" i="1" a="1"/>
  <c r="B99" i="1"/>
  <c r="B100" i="1" a="1"/>
  <c r="B100" i="1"/>
  <c r="B101" i="1" a="1"/>
  <c r="B101" i="1"/>
  <c r="B102" i="1" a="1"/>
  <c r="B102" i="1" s="1"/>
  <c r="B103" i="1" a="1"/>
  <c r="B103" i="1" s="1"/>
  <c r="B104" i="1" a="1"/>
  <c r="B104" i="1"/>
  <c r="B105" i="1" a="1"/>
  <c r="B105" i="1"/>
  <c r="B106" i="1" a="1"/>
  <c r="B106" i="1"/>
  <c r="B107" i="1" a="1"/>
  <c r="B107" i="1" s="1"/>
  <c r="B108" i="1" a="1"/>
  <c r="B108" i="1" s="1"/>
  <c r="B109" i="1" a="1"/>
  <c r="B109" i="1"/>
  <c r="B110" i="1" a="1"/>
  <c r="B110" i="1"/>
  <c r="B111" i="1" a="1"/>
  <c r="B111" i="1"/>
  <c r="B112" i="1" a="1"/>
  <c r="B112" i="1" s="1"/>
  <c r="B113" i="1" a="1"/>
  <c r="B113" i="1" s="1"/>
  <c r="B114" i="1" a="1"/>
  <c r="B114" i="1"/>
  <c r="B115" i="1" a="1"/>
  <c r="B115" i="1"/>
  <c r="B116" i="1" a="1"/>
  <c r="B116" i="1"/>
  <c r="B117" i="1" a="1"/>
  <c r="B117" i="1" s="1"/>
  <c r="B118" i="1" a="1"/>
  <c r="B118" i="1" s="1"/>
  <c r="B119" i="1" a="1"/>
  <c r="B119" i="1"/>
  <c r="B120" i="1" a="1"/>
  <c r="B120" i="1"/>
  <c r="B121" i="1" a="1"/>
  <c r="B121" i="1"/>
  <c r="B122" i="1" a="1"/>
  <c r="B122" i="1" s="1"/>
  <c r="B123" i="1" a="1"/>
  <c r="B123" i="1" s="1"/>
  <c r="B124" i="1" a="1"/>
  <c r="B124" i="1"/>
  <c r="B125" i="1" a="1"/>
  <c r="B125" i="1"/>
  <c r="B126" i="1" a="1"/>
  <c r="B126" i="1"/>
  <c r="B127" i="1" a="1"/>
  <c r="B127" i="1" s="1"/>
  <c r="B86" i="1" a="1"/>
  <c r="B86" i="1" s="1"/>
  <c r="AK71" i="1"/>
  <c r="AI71" i="1"/>
  <c r="AH71" i="1"/>
  <c r="AF71" i="1"/>
  <c r="AG71" i="1" s="1"/>
  <c r="AE71" i="1"/>
  <c r="A3" i="1"/>
  <c r="A4" i="1" s="1"/>
  <c r="AE75" i="1"/>
  <c r="AF75" i="1"/>
  <c r="AK75" i="1"/>
  <c r="Y137" i="1"/>
  <c r="AE79" i="1"/>
  <c r="W137" i="1"/>
  <c r="AH137" i="1" s="1"/>
  <c r="T137" i="1"/>
  <c r="AF79" i="1"/>
  <c r="O137" i="1"/>
  <c r="H137" i="1"/>
  <c r="AK77" i="1"/>
  <c r="AK76" i="1"/>
  <c r="AK74" i="1"/>
  <c r="AK73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7" i="1"/>
  <c r="J137" i="1"/>
  <c r="K137" i="1"/>
  <c r="L137" i="1"/>
  <c r="M137" i="1"/>
  <c r="N137" i="1"/>
  <c r="AE74" i="1"/>
  <c r="AF74" i="1"/>
  <c r="AE73" i="1"/>
  <c r="AF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72" i="1"/>
  <c r="AG72" i="1" s="1"/>
  <c r="AF77" i="1"/>
  <c r="AG77" i="1" s="1"/>
  <c r="AF78" i="1"/>
  <c r="AG78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J72" i="1" s="1"/>
  <c r="AH72" i="1"/>
  <c r="AI72" i="1"/>
  <c r="AE77" i="1"/>
  <c r="AJ77" i="1" s="1"/>
  <c r="AH77" i="1"/>
  <c r="AI77" i="1"/>
  <c r="AE78" i="1"/>
  <c r="AJ78" i="1" s="1"/>
  <c r="AH78" i="1"/>
  <c r="AI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A3" i="2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8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8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7" i="1"/>
  <c r="Q137" i="1"/>
  <c r="R137" i="1"/>
  <c r="S137" i="1"/>
  <c r="U137" i="1"/>
  <c r="V137" i="1"/>
  <c r="X137" i="1"/>
  <c r="AI137" i="1"/>
  <c r="Z137" i="1"/>
  <c r="AA137" i="1"/>
  <c r="A3" i="3" l="1"/>
  <c r="A5" i="1"/>
  <c r="A6" i="1" s="1"/>
  <c r="A4" i="3"/>
  <c r="A4" i="2"/>
  <c r="M4" i="3" s="1"/>
  <c r="AF137" i="1"/>
  <c r="AG137" i="1" s="1"/>
  <c r="AE137" i="1"/>
  <c r="AJ137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8" i="1"/>
  <c r="AD137" i="1"/>
  <c r="K138" i="1" l="1"/>
  <c r="V138" i="1"/>
  <c r="J138" i="1"/>
  <c r="N138" i="1"/>
  <c r="O138" i="1"/>
  <c r="R138" i="1"/>
  <c r="AA138" i="1"/>
  <c r="Q138" i="1"/>
  <c r="X138" i="1"/>
  <c r="Z138" i="1"/>
  <c r="Y138" i="1"/>
  <c r="AI138" i="1" s="1"/>
  <c r="P138" i="1"/>
  <c r="S138" i="1"/>
  <c r="W138" i="1"/>
  <c r="AH138" i="1" s="1"/>
  <c r="I138" i="1"/>
  <c r="U138" i="1"/>
  <c r="L138" i="1"/>
  <c r="H138" i="1"/>
  <c r="M138" i="1"/>
  <c r="T138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<sst xmlns="http://schemas.openxmlformats.org/spreadsheetml/2006/main" count="374" uniqueCount="348">
  <si>
    <t xml:space="preserve">EMNLP (under review) </t>
  </si>
  <si>
    <t xml:space="preserve">ARR^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</si>
  <si>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</si>
  <si>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</si>
  <si>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</si>
  <si>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TMLR (under review) 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</si>
  <si>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</si>
  <si>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</si>
  <si>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</si>
  <si>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</si>
  <si>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</si>
  <si>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</si>
  <si>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</si>
  <si>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</si>
  <si>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</si>
  <si>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</si>
  <si>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</si>
  <si>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</si>
  <si>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</si>
  <si>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</si>
  <si>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</si>
  <si>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</si>
  <si>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</si>
  <si>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</si>
  <si>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</si>
  <si>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</si>
  <si>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</si>
  <si>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</si>
  <si>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</si>
  <si>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</si>
  <si>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</si>
  <si>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</si>
  <si>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</si>
  <si>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</si>
  <si>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</si>
  <si>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</si>
  <si>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</si>
  <si>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</si>
  <si>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</si>
  <si>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</si>
  <si>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</si>
  <si>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</si>
  <si>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</si>
  <si>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</si>
  <si>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</si>
  <si>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</si>
  <si>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</si>
  <si>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</si>
  <si>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</si>
  <si>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</si>
  <si>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</si>
  <si>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</si>
  <si>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</si>
  <si>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</si>
  <si>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</si>
  <si>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</si>
  <si>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Learning from Naturally Occurring Feedback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</si>
  <si>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</si>
  <si>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</si>
  <si>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</si>
  <si>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</si>
  <si>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</si>
  <si>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</si>
  <si>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</si>
  <si>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</si>
  <si>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</si>
  <si>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</si>
  <si>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</si>
  <si>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</si>
  <si>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</si>
  <si>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</si>
  <si>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</si>
  <si>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</si>
  <si>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</si>
  <si>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</si>
  <si>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</si>
  <si>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</si>
  <si>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</si>
  <si>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</si>
  <si>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</si>
  <si>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</si>
  <si>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</si>
  <si>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</si>
  <si>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</si>
  <si>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</si>
  <si>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</si>
  <si>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</si>
  <si>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</si>
  <si>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</si>
  <si>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</si>
  <si>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</si>
  <si>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</si>
  <si>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</si>
  <si>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</si>
  <si>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</si>
  <si>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</si>
  <si>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</si>
  <si>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</si>
  <si>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</si>
  <si>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</si>
  <si>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</si>
  <si>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</si>
  <si>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</si>
  <si>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</si>
  <si>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</si>
  <si>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</si>
  <si>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</si>
  <si>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</si>
  <si>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</si>
  <si>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</si>
  <si>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</si>
  <si>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</si>
  <si>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</si>
  <si>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</si>
  <si>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</si>
  <si>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</si>
  <si>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</si>
  <si>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</si>
  <si>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</si>
  <si>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</si>
  <si>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</si>
  <si>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</si>
  <si>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</si>
  <si>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</si>
  <si>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</si>
  <si>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</si>
  <si>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</si>
  <si>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</si>
  <si>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</si>
  <si>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</si>
  <si>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</si>
  <si>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</si>
  <si>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</si>
  <si>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</si>
  <si>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</si>
  <si>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</si>
  <si>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</si>
  <si>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</si>
  <si>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</si>
  <si>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</si>
  <si>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</si>
  <si>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</si>
  <si>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</si>
  <si>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</si>
  <si>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</si>
  <si>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</si>
  <si>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</si>
  <si>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</si>
  <si>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</si>
  <si>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</si>
  <si>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</si>
  <si>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</si>
  <si>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</si>
  <si>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</si>
  <si>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</si>
  <si>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</si>
  <si>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</si>
  <si>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</si>
  <si>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</si>
  <si>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</si>
  <si>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</si>
  <si>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</si>
  <si>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</si>
  <si>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</si>
  <si>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</si>
  <si>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</si>
  <si>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</si>
  <si>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</si>
  <si>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</si>
  <si>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</si>
  <si>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</si>
  <si>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</si>
  <si>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</si>
  <si>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</si>
  <si>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</si>
  <si>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</si>
  <si>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</si>
  <si>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</si>
  <si>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</si>
  <si>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</si>
  <si>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</si>
  <si>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</si>
  <si>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</si>
  <si>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</si>
  <si>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</si>
  <si>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</si>
  <si>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</si>
  <si>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</si>
  <si>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</si>
  <si>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r>
      <t xml:space="preserve">Nature Machine Intelligence^ (under review) </t>
    </r>
    <r>
      <rPr>
        <sz val="12"/>
        <color rgb="FF000000"/>
        <rFont val="Times New Roman"/>
        <family val="1"/>
      </rPr>
      <t xml:space="preserve"> </t>
    </r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</si>
  <si>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</si>
  <si>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</si>
  <si>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</si>
  <si>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</si>
  <si>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</si>
  <si>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</si>
  <si>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</si>
  <si>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</si>
  <si>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</si>
  <si>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</si>
  <si>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</si>
  <si>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</si>
  <si>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</si>
  <si>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</si>
  <si>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</si>
  <si>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</si>
  <si>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</si>
  <si>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</si>
  <si>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</si>
  <si>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</si>
  <si>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</si>
  <si>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</si>
  <si>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</si>
  <si>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</si>
  <si>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</si>
  <si>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</si>
  <si>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</si>
  <si>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</si>
  <si>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</si>
  <si>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</si>
  <si>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</si>
  <si>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</si>
  <si>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</si>
  <si>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</si>
  <si>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</si>
  <si>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</si>
  <si>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</si>
  <si>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</si>
  <si>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</si>
  <si>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</si>
  <si>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</si>
  <si>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</si>
  <si>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</si>
  <si>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</si>
  <si>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</si>
  <si>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</si>
  <si>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</si>
  <si>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</si>
  <si>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</si>
  <si>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</si>
  <si>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</si>
  <si>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</si>
  <si>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</si>
  <si>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</si>
  <si>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</si>
  <si>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</si>
  <si>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</si>
  <si>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</si>
  <si>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</si>
  <si>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</si>
  <si>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</si>
  <si>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</si>
  <si>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</si>
  <si>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</si>
  <si>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</si>
  <si>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</si>
  <si>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</si>
  <si>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</si>
  <si>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ICLR (under review)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</si>
  <si>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</si>
  <si>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</si>
  <si>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</si>
  <si>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</si>
  <si>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</si>
  <si>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</si>
  <si>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</si>
  <si>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</si>
  <si>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</si>
  <si>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</si>
  <si>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</si>
  <si>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</si>
  <si>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</si>
  <si>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</si>
  <si>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</si>
  <si>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</si>
  <si>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</si>
  <si>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</si>
  <si>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</si>
  <si>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</si>
  <si>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</si>
  <si>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</si>
  <si>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</si>
  <si>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</si>
  <si>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</si>
  <si>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</si>
  <si>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</si>
  <si>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</si>
  <si>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</si>
  <si>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</si>
  <si>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</si>
  <si>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</si>
  <si>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</si>
  <si>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</si>
  <si>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</si>
  <si>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</si>
  <si>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</si>
  <si>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</si>
  <si>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Review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</si>
  <si>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</si>
  <si>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</si>
  <si>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</si>
  <si>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</si>
  <si>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</si>
  <si>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</si>
  <si>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</si>
  <si>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</si>
  <si>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</si>
  <si>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</si>
  <si>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</si>
  <si>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</si>
  <si>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</si>
  <si>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</si>
  <si>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</si>
  <si>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</si>
  <si>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</si>
  <si>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</si>
  <si>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</si>
  <si>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</si>
  <si>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</si>
  <si>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</si>
  <si>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</si>
  <si>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</si>
  <si>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</si>
  <si>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</si>
  <si>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singh-etal-2025-global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</si>
  <si>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</si>
  <si>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</si>
  <si>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</si>
  <si>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</si>
  <si>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</si>
  <si>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</si>
  <si>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</si>
  <si>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</si>
  <si>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</si>
  <si>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</si>
  <si>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</si>
  <si>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</si>
  <si>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</si>
  <si>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</si>
  <si>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</si>
  <si>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</si>
  <si>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</si>
  <si>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IEEE</t>
  </si>
  <si>
    <t>JML</t>
  </si>
  <si>
    <t>wilcox2025bigger</t>
  </si>
  <si>
    <t>zipnn</t>
  </si>
  <si>
    <t>CRISP: Complex Reasoning with Interpretable Step-based Plans</t>
  </si>
  <si>
    <t>Beyond binary rewards: Training lms to reason about their uncertainty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</si>
</sst>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26" Type="http://schemas.openxmlformats.org/officeDocument/2006/relationships/hyperlink" Target="https://openreview.net/profile?email=leshem.choshen%40mail.huji.ac.il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0" Type="http://schemas.openxmlformats.org/officeDocument/2006/relationships/hyperlink" Target="https://arxiv.org/abs/2407.21530" TargetMode="External"/><Relationship Id="rId29" Type="http://schemas.openxmlformats.org/officeDocument/2006/relationships/hyperlink" Target="https://arxiv.org/abs/2407.13696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5" Type="http://schemas.openxmlformats.org/officeDocument/2006/relationships/hyperlink" Target="https://arxiv.org/abs/2407.10944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10" Type="http://schemas.openxmlformats.org/officeDocument/2006/relationships/hyperlink" Target="https://arxiv.org/abs/2404.00459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8"/>
  <sheetViews>
    <sheetView tabSelected="1" topLeftCell="F1" workbookViewId="0">
      <pane ySplit="1" topLeftCell="A64" activePane="bottomLeft" state="frozen"/>
      <selection pane="bottomLeft" activeCell="AA92" sqref="AA92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5" max="15" width="14" customWidth="1"/>
    <col min="21" max="21" width="10.5" customWidth="1"/>
    <col min="22" max="22" width="13.6640625" customWidth="1"/>
    <col min="25" max="25" width="10.6640625" customWidth="1"/>
  </cols>
  <sheetData>
    <row r="1" spans="1:37">
      <c r="A1" t="s">
        <v>184</v>
      </c>
      <c r="B1" t="s">
        <v>333</v>
      </c>
      <c r="C1" t="s">
        <v>293</v>
      </c>
      <c r="D1" t="s">
        <v>133</v>
      </c>
      <c r="E1" t="s">
        <v>250</v>
      </c>
      <c r="F1" t="s">
        <v>134</v>
      </c>
      <c r="G1" t="s">
        <v>132</v>
      </c>
      <c r="H1" t="s">
        <v>263</v>
      </c>
      <c r="I1" t="s">
        <v>292</v>
      </c>
      <c r="J1" t="s">
        <v>291</v>
      </c>
      <c r="K1" t="s">
        <v>288</v>
      </c>
      <c r="L1" t="s">
        <v>287</v>
      </c>
      <c r="M1" t="s">
        <v>290</v>
      </c>
      <c r="N1" t="s">
        <v>289</v>
      </c>
      <c r="O1" t="s">
        <v>265</v>
      </c>
      <c r="P1" t="s">
        <v>267</v>
      </c>
      <c r="Q1" t="s">
        <v>264</v>
      </c>
      <c r="R1" t="s">
        <v>158</v>
      </c>
      <c r="S1" t="s">
        <v>173</v>
      </c>
      <c r="T1" t="s">
        <v>159</v>
      </c>
      <c r="U1" t="s">
        <v>160</v>
      </c>
      <c r="V1" t="s">
        <v>266</v>
      </c>
      <c r="W1" t="s">
        <v>161</v>
      </c>
      <c r="X1" t="s">
        <v>162</v>
      </c>
      <c r="Y1" t="s">
        <v>262</v>
      </c>
      <c r="Z1" t="s">
        <v>166</v>
      </c>
      <c r="AA1" t="s">
        <v>163</v>
      </c>
      <c r="AB1" t="s">
        <v>298</v>
      </c>
      <c r="AC1" t="s">
        <v>297</v>
      </c>
      <c r="AD1" t="s">
        <v>183</v>
      </c>
      <c r="AE1" t="s">
        <v>261</v>
      </c>
      <c r="AF1" t="s">
        <v>251</v>
      </c>
      <c r="AG1" t="s">
        <v>251</v>
      </c>
      <c r="AH1" t="s">
        <v>252</v>
      </c>
      <c r="AI1" t="s">
        <v>253</v>
      </c>
      <c r="AJ1" t="s">
        <v>261</v>
      </c>
      <c r="AK1" t="s">
        <v>294</v>
      </c>
    </row>
    <row r="2" spans="1:37">
      <c r="A2">
        <v>1</v>
      </c>
      <c r="B2" t="str" cm="1">
        <f t="array" ref="B2">_xlfn.IFS(ISBLANK(D2),"",ISBLANK(C2),"no venue",ISBLANK(E2),"no bib",ISNUMBER(SEARCH("xiv", C2)),"arxiv",TRUE,"")</f>
        <v/>
      </c>
      <c r="C2" s="1" t="s">
        <v>49</v>
      </c>
      <c r="D2" t="s">
        <v>50</v>
      </c>
      <c r="E2" t="s">
        <v>242</v>
      </c>
      <c r="F2" t="s">
        <v>130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C3)),"arxiv",TRUE,"")</f>
        <v/>
      </c>
      <c r="C3" s="1" t="s">
        <v>128</v>
      </c>
      <c r="D3" s="5" t="s">
        <v>129</v>
      </c>
      <c r="E3" t="s">
        <v>241</v>
      </c>
      <c r="F3" t="s">
        <v>114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C4)),"arxiv",TRUE,"")</f>
        <v/>
      </c>
      <c r="C4" s="1" t="s">
        <v>48</v>
      </c>
      <c r="D4" t="s">
        <v>126</v>
      </c>
      <c r="E4" t="s">
        <v>209</v>
      </c>
      <c r="F4" t="s">
        <v>127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C5)),"arxiv",TRUE,"")</f>
        <v/>
      </c>
      <c r="C5" s="1" t="s">
        <v>47</v>
      </c>
      <c r="D5" t="s">
        <v>125</v>
      </c>
      <c r="E5" t="s">
        <v>240</v>
      </c>
      <c r="F5" t="s">
        <v>114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C6)),"arxiv",TRUE,"")</f>
        <v/>
      </c>
      <c r="C6" s="1" t="s">
        <v>46</v>
      </c>
      <c r="D6" t="s">
        <v>124</v>
      </c>
      <c r="E6" t="s">
        <v>239</v>
      </c>
      <c r="F6" t="s">
        <v>114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C7)),"arxiv",TRUE,"")</f>
        <v/>
      </c>
      <c r="C7" s="1" t="s">
        <v>45</v>
      </c>
      <c r="D7" t="s">
        <v>123</v>
      </c>
      <c r="E7" t="s">
        <v>238</v>
      </c>
      <c r="F7" t="s">
        <v>122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C8)),"arxiv",TRUE,"")</f>
        <v/>
      </c>
      <c r="C8" s="1" t="s">
        <v>44</v>
      </c>
      <c r="D8" t="s">
        <v>120</v>
      </c>
      <c r="E8" t="s">
        <v>237</v>
      </c>
      <c r="F8" t="s">
        <v>121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C9)),"arxiv",TRUE,"")</f>
        <v/>
      </c>
      <c r="C9" s="1" t="s">
        <v>43</v>
      </c>
      <c r="D9" t="s">
        <v>118</v>
      </c>
      <c r="E9" t="s">
        <v>236</v>
      </c>
      <c r="F9" t="s">
        <v>119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C10)),"arxiv",TRUE,"")</f>
        <v/>
      </c>
      <c r="C10" s="1" t="s">
        <v>42</v>
      </c>
      <c r="D10" t="s">
        <v>116</v>
      </c>
      <c r="E10" t="s">
        <v>235</v>
      </c>
      <c r="F10" t="s">
        <v>117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C11)),"arxiv",TRUE,"")</f>
        <v/>
      </c>
      <c r="C11" s="1" t="s">
        <v>41</v>
      </c>
      <c r="D11" t="s">
        <v>115</v>
      </c>
      <c r="E11" t="s">
        <v>234</v>
      </c>
      <c r="F11" t="s">
        <v>114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C12)),"arxiv",TRUE,"")</f>
        <v/>
      </c>
      <c r="C12" s="1" t="s">
        <v>40</v>
      </c>
      <c r="D12" t="s">
        <v>112</v>
      </c>
      <c r="E12" t="s">
        <v>233</v>
      </c>
      <c r="F12" t="s">
        <v>113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C13)),"arxiv",TRUE,"")</f>
        <v/>
      </c>
      <c r="C13" s="1" t="s">
        <v>39</v>
      </c>
      <c r="D13" t="s">
        <v>148</v>
      </c>
      <c r="E13" t="s">
        <v>232</v>
      </c>
      <c r="F13" t="s">
        <v>149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C14)),"arxiv",TRUE,"")</f>
        <v/>
      </c>
      <c r="C14" s="2" t="s">
        <v>38</v>
      </c>
      <c r="D14" t="s">
        <v>146</v>
      </c>
      <c r="E14" t="s">
        <v>208</v>
      </c>
      <c r="F14" t="s">
        <v>147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C15)),"arxiv",TRUE,"")</f>
        <v/>
      </c>
      <c r="C15" s="1" t="s">
        <v>37</v>
      </c>
      <c r="D15" t="s">
        <v>144</v>
      </c>
      <c r="E15" t="s">
        <v>231</v>
      </c>
      <c r="F15" t="s">
        <v>145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C16)),"arxiv",TRUE,"")</f>
        <v/>
      </c>
      <c r="C16" s="1" t="s">
        <v>36</v>
      </c>
      <c r="D16" t="s">
        <v>142</v>
      </c>
      <c r="E16" t="s">
        <v>230</v>
      </c>
      <c r="F16" t="s">
        <v>143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C17)),"arxiv",TRUE,"")</f>
        <v/>
      </c>
      <c r="C17" s="1" t="s">
        <v>35</v>
      </c>
      <c r="D17" t="s">
        <v>140</v>
      </c>
      <c r="E17" t="s">
        <v>207</v>
      </c>
      <c r="F17" t="s">
        <v>141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C18)),"arxiv",TRUE,"")</f>
        <v/>
      </c>
      <c r="C18" s="3" t="s">
        <v>34</v>
      </c>
      <c r="D18" t="s">
        <v>139</v>
      </c>
      <c r="E18" t="s">
        <v>206</v>
      </c>
      <c r="F18" t="s">
        <v>111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C19)),"arxiv",TRUE,"")</f>
        <v/>
      </c>
      <c r="C19" s="1" t="s">
        <v>33</v>
      </c>
      <c r="D19" t="s">
        <v>95</v>
      </c>
      <c r="E19" t="s">
        <v>229</v>
      </c>
      <c r="F19" t="s">
        <v>96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32</v>
      </c>
      <c r="D20" t="s">
        <v>93</v>
      </c>
      <c r="E20" t="s">
        <v>205</v>
      </c>
      <c r="F20" t="s">
        <v>94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31</v>
      </c>
      <c r="D21" t="s">
        <v>138</v>
      </c>
      <c r="E21" t="s">
        <v>228</v>
      </c>
      <c r="F21" t="s">
        <v>110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30</v>
      </c>
      <c r="D22" t="s">
        <v>91</v>
      </c>
      <c r="E22" t="s">
        <v>204</v>
      </c>
      <c r="F22" t="s">
        <v>92</v>
      </c>
      <c r="G22">
        <v>2022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30</v>
      </c>
      <c r="D23" t="s">
        <v>89</v>
      </c>
      <c r="E23" t="s">
        <v>203</v>
      </c>
      <c r="F23" t="s">
        <v>90</v>
      </c>
      <c r="G23">
        <v>2022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29</v>
      </c>
      <c r="D24" t="s">
        <v>87</v>
      </c>
      <c r="E24" t="s">
        <v>243</v>
      </c>
      <c r="F24" t="s">
        <v>88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28</v>
      </c>
      <c r="D25" t="s">
        <v>137</v>
      </c>
      <c r="E25" t="s">
        <v>227</v>
      </c>
      <c r="F25" t="s">
        <v>109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27</v>
      </c>
      <c r="D26" t="s">
        <v>136</v>
      </c>
      <c r="E26" t="s">
        <v>226</v>
      </c>
      <c r="F26" t="s">
        <v>108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26</v>
      </c>
      <c r="D27" t="s">
        <v>85</v>
      </c>
      <c r="E27" t="s">
        <v>202</v>
      </c>
      <c r="F27" t="s">
        <v>86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C28)),"arxiv",TRUE,"")</f>
        <v/>
      </c>
      <c r="C28" s="1" t="s">
        <v>25</v>
      </c>
      <c r="D28" t="s">
        <v>83</v>
      </c>
      <c r="E28" t="s">
        <v>225</v>
      </c>
      <c r="F28" t="s">
        <v>84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C29)),"arxiv",TRUE,"")</f>
        <v/>
      </c>
      <c r="C29" s="1" t="s">
        <v>24</v>
      </c>
      <c r="D29" t="s">
        <v>135</v>
      </c>
      <c r="E29" t="s">
        <v>224</v>
      </c>
      <c r="F29" t="s">
        <v>107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C30)),"arxiv",TRUE,"")</f>
        <v/>
      </c>
      <c r="C30" s="1" t="s">
        <v>20</v>
      </c>
      <c r="D30" t="s">
        <v>82</v>
      </c>
      <c r="E30" t="s">
        <v>223</v>
      </c>
      <c r="F30" t="s">
        <v>131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C31)),"arxiv",TRUE,"")</f>
        <v/>
      </c>
      <c r="C31" s="1" t="s">
        <v>23</v>
      </c>
      <c r="D31" t="s">
        <v>80</v>
      </c>
      <c r="E31" s="4" t="s">
        <v>222</v>
      </c>
      <c r="F31" t="s">
        <v>81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C32)),"arxiv",TRUE,"")</f>
        <v/>
      </c>
      <c r="C32" s="1" t="s">
        <v>22</v>
      </c>
      <c r="D32" s="2" t="s">
        <v>310</v>
      </c>
      <c r="E32" s="9" t="s">
        <v>244</v>
      </c>
      <c r="F32" t="s">
        <v>79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C33)),"arxiv",TRUE,"")</f>
        <v/>
      </c>
      <c r="C33" s="1" t="s">
        <v>21</v>
      </c>
      <c r="D33" t="s">
        <v>77</v>
      </c>
      <c r="E33" t="s">
        <v>201</v>
      </c>
      <c r="F33" t="s">
        <v>78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C34)),"arxiv",TRUE,"")</f>
        <v/>
      </c>
      <c r="C34" s="1" t="s">
        <v>20</v>
      </c>
      <c r="D34" t="s">
        <v>76</v>
      </c>
      <c r="E34" t="s">
        <v>221</v>
      </c>
      <c r="F34" t="s">
        <v>155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C35)),"arxiv",TRUE,"")</f>
        <v/>
      </c>
      <c r="C35" s="1" t="s">
        <v>19</v>
      </c>
      <c r="D35" t="s">
        <v>74</v>
      </c>
      <c r="E35" t="s">
        <v>220</v>
      </c>
      <c r="F35" t="s">
        <v>75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C36)),"arxiv",TRUE,"")</f>
        <v/>
      </c>
      <c r="C36" s="1" t="s">
        <v>18</v>
      </c>
      <c r="D36" t="s">
        <v>73</v>
      </c>
      <c r="E36" t="s">
        <v>219</v>
      </c>
      <c r="F36" t="s">
        <v>157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C37)),"arxiv",TRUE,"")</f>
        <v/>
      </c>
      <c r="C37" s="1" t="s">
        <v>272</v>
      </c>
      <c r="D37" t="s">
        <v>273</v>
      </c>
      <c r="E37" t="s">
        <v>269</v>
      </c>
      <c r="F37" t="s">
        <v>270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C38)),"arxiv",TRUE,"")</f>
        <v/>
      </c>
      <c r="C38" s="1" t="s">
        <v>15</v>
      </c>
      <c r="D38" t="s">
        <v>72</v>
      </c>
      <c r="E38" t="s">
        <v>218</v>
      </c>
      <c r="F38" t="s">
        <v>156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2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C39)),"arxiv",TRUE,"")</f>
        <v/>
      </c>
      <c r="C39" s="1" t="s">
        <v>15</v>
      </c>
      <c r="D39" t="s">
        <v>106</v>
      </c>
      <c r="E39" t="s">
        <v>217</v>
      </c>
      <c r="F39" t="s">
        <v>105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C40)),"arxiv",TRUE,"")</f>
        <v/>
      </c>
      <c r="C40" s="1" t="s">
        <v>17</v>
      </c>
      <c r="D40" t="s">
        <v>104</v>
      </c>
      <c r="E40" t="s">
        <v>210</v>
      </c>
      <c r="F40" t="s">
        <v>103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C41)),"arxiv",TRUE,"")</f>
        <v/>
      </c>
      <c r="C41" s="1" t="s">
        <v>16</v>
      </c>
      <c r="D41" t="s">
        <v>102</v>
      </c>
      <c r="E41" t="s">
        <v>211</v>
      </c>
      <c r="F41" t="s">
        <v>101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C42)),"arxiv",TRUE,"")</f>
        <v/>
      </c>
      <c r="C42" s="2" t="s">
        <v>15</v>
      </c>
      <c r="D42" t="s">
        <v>71</v>
      </c>
      <c r="E42" t="s">
        <v>200</v>
      </c>
      <c r="F42" t="s">
        <v>155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C43)),"arxiv",TRUE,"")</f>
        <v/>
      </c>
      <c r="C43" s="2" t="s">
        <v>14</v>
      </c>
      <c r="D43" t="s">
        <v>69</v>
      </c>
      <c r="E43" t="s">
        <v>199</v>
      </c>
      <c r="F43" t="s">
        <v>70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C44)),"arxiv",TRUE,"")</f>
        <v/>
      </c>
      <c r="C44" s="1" t="s">
        <v>178</v>
      </c>
      <c r="D44" t="s">
        <v>179</v>
      </c>
      <c r="E44" t="s">
        <v>198</v>
      </c>
      <c r="F44" t="s">
        <v>180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C45)),"arxiv",TRUE,"")</f>
        <v/>
      </c>
      <c r="C45" s="1" t="s">
        <v>178</v>
      </c>
      <c r="D45" t="s">
        <v>277</v>
      </c>
      <c r="E45" t="s">
        <v>276</v>
      </c>
      <c r="F45" t="s">
        <v>278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C46)),"arxiv",TRUE,"")</f>
        <v/>
      </c>
      <c r="C46" s="2" t="s">
        <v>13</v>
      </c>
      <c r="D46" t="s">
        <v>68</v>
      </c>
      <c r="E46" s="9" t="s">
        <v>245</v>
      </c>
      <c r="F46" t="s">
        <v>154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C47)),"arxiv",TRUE,"")</f>
        <v/>
      </c>
      <c r="C47" s="1" t="s">
        <v>12</v>
      </c>
      <c r="D47" t="s">
        <v>66</v>
      </c>
      <c r="E47" t="s">
        <v>216</v>
      </c>
      <c r="F47" t="s">
        <v>67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C48)),"arxiv",TRUE,"")</f>
        <v/>
      </c>
      <c r="C48" s="1" t="s">
        <v>11</v>
      </c>
      <c r="D48" t="s">
        <v>271</v>
      </c>
      <c r="E48" t="s">
        <v>246</v>
      </c>
      <c r="F48" t="s">
        <v>270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C49)),"arxiv",TRUE,"")</f>
        <v/>
      </c>
      <c r="C49" s="1" t="s">
        <v>10</v>
      </c>
      <c r="D49" t="s">
        <v>177</v>
      </c>
      <c r="E49" t="s">
        <v>215</v>
      </c>
      <c r="F49" t="s">
        <v>176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C50)),"arxiv",TRUE,"")</f>
        <v/>
      </c>
      <c r="C50" s="2" t="s">
        <v>9</v>
      </c>
      <c r="D50" t="s">
        <v>175</v>
      </c>
      <c r="E50" t="s">
        <v>214</v>
      </c>
      <c r="F50" t="s">
        <v>174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C51)),"arxiv",TRUE,"")</f>
        <v/>
      </c>
      <c r="C51" s="2" t="s">
        <v>9</v>
      </c>
      <c r="D51" t="s">
        <v>64</v>
      </c>
      <c r="E51" t="s">
        <v>213</v>
      </c>
      <c r="F51" t="s">
        <v>65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C52)),"arxiv",TRUE,"")</f>
        <v/>
      </c>
      <c r="C52" s="2" t="s">
        <v>8</v>
      </c>
      <c r="D52" t="s">
        <v>62</v>
      </c>
      <c r="E52" s="14" t="s">
        <v>197</v>
      </c>
      <c r="F52" t="s">
        <v>63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C53)),"arxiv",TRUE,"")</f>
        <v/>
      </c>
      <c r="C53" s="2" t="s">
        <v>7</v>
      </c>
      <c r="D53" t="s">
        <v>61</v>
      </c>
      <c r="E53" t="s">
        <v>268</v>
      </c>
      <c r="F53" t="s">
        <v>153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C54)),"arxiv",TRUE,"")</f>
        <v/>
      </c>
      <c r="C54" s="2" t="s">
        <v>6</v>
      </c>
      <c r="D54" t="s">
        <v>100</v>
      </c>
      <c r="E54" t="s">
        <v>212</v>
      </c>
      <c r="F54" t="s">
        <v>99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C55)),"arxiv",TRUE,"")</f>
        <v/>
      </c>
      <c r="C55" s="2" t="s">
        <v>5</v>
      </c>
      <c r="D55" t="s">
        <v>59</v>
      </c>
      <c r="E55" t="s">
        <v>247</v>
      </c>
      <c r="F55" t="s">
        <v>60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C56)),"arxiv",TRUE,"")</f>
        <v/>
      </c>
      <c r="C56" s="2" t="s">
        <v>311</v>
      </c>
      <c r="D56" s="2" t="s">
        <v>304</v>
      </c>
      <c r="E56" t="s">
        <v>196</v>
      </c>
      <c r="F56" t="s">
        <v>4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C57)),"arxiv",TRUE,"")</f>
        <v/>
      </c>
      <c r="C57" s="2" t="s">
        <v>187</v>
      </c>
      <c r="D57" t="s">
        <v>172</v>
      </c>
      <c r="E57" s="12" t="s">
        <v>313</v>
      </c>
      <c r="F57" t="s">
        <v>171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C58)),"arxiv",TRUE,"")</f>
        <v/>
      </c>
      <c r="C58" s="2" t="s">
        <v>314</v>
      </c>
      <c r="D58" t="s">
        <v>57</v>
      </c>
      <c r="E58" s="12" t="s">
        <v>315</v>
      </c>
      <c r="F58" t="s">
        <v>58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C59)),"arxiv",TRUE,"")</f>
        <v/>
      </c>
      <c r="C59" s="2" t="s">
        <v>2</v>
      </c>
      <c r="D59" t="s">
        <v>170</v>
      </c>
      <c r="E59" t="s">
        <v>195</v>
      </c>
      <c r="F59" t="s">
        <v>169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C60)),"arxiv",TRUE,"")</f>
        <v/>
      </c>
      <c r="C60" s="2" t="s">
        <v>300</v>
      </c>
      <c r="D60" t="s">
        <v>168</v>
      </c>
      <c r="E60" t="s">
        <v>248</v>
      </c>
      <c r="F60" t="s">
        <v>167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C61)),"arxiv",TRUE,"")</f>
        <v/>
      </c>
      <c r="C61" s="2" t="s">
        <v>2</v>
      </c>
      <c r="D61" t="s">
        <v>51</v>
      </c>
      <c r="E61" t="s">
        <v>249</v>
      </c>
      <c r="F61" t="s">
        <v>3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C62)),"arxiv",TRUE,"")</f>
        <v/>
      </c>
      <c r="C62" s="2" t="s">
        <v>316</v>
      </c>
      <c r="D62" t="s">
        <v>98</v>
      </c>
      <c r="E62" s="12" t="s">
        <v>322</v>
      </c>
      <c r="F62" t="s">
        <v>97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C63)),"arxiv",TRUE,"")</f>
        <v/>
      </c>
      <c r="C63" s="2" t="s">
        <v>2</v>
      </c>
      <c r="D63" t="s">
        <v>56</v>
      </c>
      <c r="E63" t="s">
        <v>194</v>
      </c>
      <c r="F63" t="s">
        <v>152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B64" t="str" cm="1">
        <f t="array" ref="B64">_xlfn.IFS(ISBLANK(D64),"",ISBLANK(C64),"no venue",ISBLANK(E64),"no bib",ISNUMBER(SEARCH("xiv", C64)),"arxiv",TRUE,"")</f>
        <v/>
      </c>
      <c r="C64" s="2" t="s">
        <v>1</v>
      </c>
      <c r="D64" t="s">
        <v>55</v>
      </c>
      <c r="E64" t="s">
        <v>193</v>
      </c>
      <c r="F64" t="s">
        <v>151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C65)),"arxiv",TRUE,"")</f>
        <v/>
      </c>
      <c r="C65" s="2" t="s">
        <v>185</v>
      </c>
      <c r="D65" t="s">
        <v>54</v>
      </c>
      <c r="E65" s="9" t="s">
        <v>312</v>
      </c>
      <c r="F65" t="s">
        <v>150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C66)),"arxiv",TRUE,"")</f>
        <v/>
      </c>
      <c r="C66" s="2" t="s">
        <v>343</v>
      </c>
      <c r="D66" t="s">
        <v>165</v>
      </c>
      <c r="E66" s="12" t="s">
        <v>344</v>
      </c>
      <c r="F66" t="s">
        <v>164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2" si="19">IF(AF66,E66,"")</f>
        <v>wilcox2025bigger</v>
      </c>
      <c r="AH66" t="str">
        <f t="shared" ref="AH66:AH72" si="20">IF(W66,E66,"")</f>
        <v>wilcox2025bigger</v>
      </c>
      <c r="AI66" t="str">
        <f t="shared" ref="AI66:AI72" si="21">IF(Y66,E66,"")</f>
        <v>wilcox2025bigger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C67)),"arxiv",TRUE,"")</f>
        <v/>
      </c>
      <c r="C67" s="2" t="s">
        <v>0</v>
      </c>
      <c r="D67" t="s">
        <v>52</v>
      </c>
      <c r="E67" t="s">
        <v>192</v>
      </c>
      <c r="F67" t="s">
        <v>53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79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7" si="23">1+A67</f>
        <v>67</v>
      </c>
      <c r="B68" t="str" cm="1">
        <f t="array" ref="B68">_xlfn.IFS(ISBLANK(D68),"",ISBLANK(C68),"no venue",ISBLANK(E68),"no bib",ISNUMBER(SEARCH("xiv", C68)),"arxiv",TRUE,"")</f>
        <v/>
      </c>
      <c r="C68" s="1" t="s">
        <v>189</v>
      </c>
      <c r="D68" s="1" t="s">
        <v>188</v>
      </c>
      <c r="E68" t="s">
        <v>191</v>
      </c>
      <c r="F68" t="s">
        <v>190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C69)),"arxiv",TRUE,"")</f>
        <v/>
      </c>
      <c r="C69" t="s">
        <v>254</v>
      </c>
      <c r="D69" s="2" t="s">
        <v>255</v>
      </c>
      <c r="E69" s="1" t="s">
        <v>257</v>
      </c>
      <c r="F69" s="10" t="s">
        <v>256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C70)),"arxiv",TRUE,"")</f>
        <v/>
      </c>
      <c r="C70" t="s">
        <v>317</v>
      </c>
      <c r="D70" s="2" t="s">
        <v>259</v>
      </c>
      <c r="E70" s="9" t="s">
        <v>318</v>
      </c>
      <c r="F70" s="10" t="s">
        <v>260</v>
      </c>
      <c r="G70">
        <v>2024</v>
      </c>
      <c r="H70">
        <v>1</v>
      </c>
      <c r="K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C71)),"arxiv",TRUE,"")</f>
        <v/>
      </c>
      <c r="C71" s="1" t="s">
        <v>186</v>
      </c>
      <c r="D71" t="s">
        <v>308</v>
      </c>
      <c r="E71" s="12" t="s">
        <v>307</v>
      </c>
      <c r="F71" s="10" t="s">
        <v>306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C72)),"arxiv",TRUE,"")</f>
        <v/>
      </c>
      <c r="C72" t="s">
        <v>296</v>
      </c>
      <c r="D72" s="13" t="s">
        <v>305</v>
      </c>
      <c r="E72" t="s">
        <v>274</v>
      </c>
      <c r="F72" s="10" t="s">
        <v>275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si="22"/>
        <v>1</v>
      </c>
      <c r="AG72" t="str">
        <f t="shared" si="19"/>
        <v>knots</v>
      </c>
      <c r="AH72" t="str">
        <f t="shared" si="20"/>
        <v>knots</v>
      </c>
      <c r="AI72" t="str">
        <f t="shared" si="21"/>
        <v>knots</v>
      </c>
      <c r="AJ72" t="str">
        <f t="shared" si="14"/>
        <v/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C73)),"arxiv",TRUE,"")</f>
        <v/>
      </c>
      <c r="C73" t="s">
        <v>258</v>
      </c>
      <c r="D73" s="5" t="s">
        <v>279</v>
      </c>
      <c r="E73" t="s">
        <v>286</v>
      </c>
      <c r="F73" s="5" t="s">
        <v>280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2"/>
        <v>1</v>
      </c>
      <c r="AK73">
        <f t="shared" ref="AK73:AK77" si="24">IF(Z73+T73&gt;1,1,0)</f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C74)),"arxiv",TRUE,"")</f>
        <v/>
      </c>
      <c r="C74" t="s">
        <v>320</v>
      </c>
      <c r="D74" s="5" t="s">
        <v>281</v>
      </c>
      <c r="E74" t="s">
        <v>283</v>
      </c>
      <c r="F74" s="5" t="s">
        <v>282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2"/>
        <v>1</v>
      </c>
      <c r="AK74">
        <f t="shared" si="24"/>
        <v>1</v>
      </c>
    </row>
    <row r="75" spans="1:37">
      <c r="A75">
        <f t="shared" si="23"/>
        <v>74</v>
      </c>
      <c r="C75" t="s">
        <v>295</v>
      </c>
      <c r="D75" s="2" t="s">
        <v>301</v>
      </c>
      <c r="E75" s="12" t="s">
        <v>302</v>
      </c>
      <c r="F75" s="5" t="s">
        <v>303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5">IF(SUM(Y75,T75,P75,W75),0,1)</f>
        <v>0</v>
      </c>
      <c r="AF75">
        <f t="shared" ref="AF75" si="26">IF(SUM(T75,P75)&gt;0,1,0)</f>
        <v>1</v>
      </c>
      <c r="AK75">
        <f t="shared" ref="AK75" si="27">IF(Z75+T75&gt;1,1,0)</f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C76)),"arxiv",TRUE,"")</f>
        <v/>
      </c>
      <c r="C76" t="s">
        <v>296</v>
      </c>
      <c r="D76" s="5" t="s">
        <v>284</v>
      </c>
      <c r="E76" s="9" t="s">
        <v>319</v>
      </c>
      <c r="F76" s="5" t="s">
        <v>285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K76">
        <f t="shared" si="24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C77)),"arxiv",TRUE,"")</f>
        <v/>
      </c>
      <c r="C77" t="s">
        <v>186</v>
      </c>
      <c r="D77" s="2" t="s">
        <v>321</v>
      </c>
      <c r="E77" s="12" t="s">
        <v>323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2"/>
        <v>1</v>
      </c>
      <c r="AG77" t="str">
        <f>IF(AF77,E77,"")</f>
        <v>hu-etal-2024-findings</v>
      </c>
      <c r="AH77" t="str">
        <f>IF(W77,E77,"")</f>
        <v>hu-etal-2024-findings</v>
      </c>
      <c r="AI77" t="str">
        <f>IF(Y77,E77,"")</f>
        <v>hu-etal-2024-findings</v>
      </c>
      <c r="AJ77" t="str">
        <f>IF(AE77,E77,"")</f>
        <v/>
      </c>
      <c r="AK77">
        <f t="shared" si="24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C78)),"arxiv",TRUE,"")</f>
        <v/>
      </c>
      <c r="C78" t="s">
        <v>187</v>
      </c>
      <c r="D78" s="2" t="s">
        <v>309</v>
      </c>
      <c r="E78" s="12" t="s">
        <v>330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2"/>
        <v>1</v>
      </c>
      <c r="AG78" t="str">
        <f>IF(AF78,E78,"")</f>
        <v>saroufim2025neurips</v>
      </c>
      <c r="AH78" t="str">
        <f>IF(W78,E78,"")</f>
        <v>saroufim2025neurips</v>
      </c>
      <c r="AI78" t="str">
        <f>IF(Y78,E78,"")</f>
        <v>saroufim2025neurips</v>
      </c>
      <c r="AJ78" t="str">
        <f>IF(AE78,E78,"")</f>
        <v/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C79)),"arxiv",TRUE,"")</f>
        <v/>
      </c>
      <c r="C79" t="s">
        <v>316</v>
      </c>
      <c r="D79" s="11" t="s">
        <v>299</v>
      </c>
      <c r="E79" s="12" t="s">
        <v>324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E79">
        <f t="shared" si="15"/>
        <v>0</v>
      </c>
      <c r="AF79">
        <f t="shared" si="22"/>
        <v>1</v>
      </c>
    </row>
    <row r="80" spans="1:37">
      <c r="A80">
        <f t="shared" si="23"/>
        <v>79</v>
      </c>
      <c r="B80" t="str" cm="1">
        <f t="array" ref="B80">_xlfn.IFS(ISBLANK(D80),"",ISBLANK(C80),"no venue",ISBLANK(E80),"no bib",ISNUMBER(SEARCH("xiv", C80)),"arxiv",TRUE,"")</f>
        <v>no bib</v>
      </c>
      <c r="C80" t="s">
        <v>326</v>
      </c>
      <c r="D80" s="2" t="s">
        <v>325</v>
      </c>
      <c r="G80">
        <v>2025</v>
      </c>
      <c r="H80">
        <v>1</v>
      </c>
      <c r="AA80">
        <v>1</v>
      </c>
    </row>
    <row r="81" spans="1:33">
      <c r="A81">
        <f t="shared" si="23"/>
        <v>80</v>
      </c>
      <c r="B81" t="str" cm="1">
        <f t="array" ref="B81">_xlfn.IFS(ISBLANK(D81),"",ISBLANK(C81),"no venue",ISBLANK(E81),"no bib",ISNUMBER(SEARCH("xiv", C81)),"arxiv",TRUE,"")</f>
        <v/>
      </c>
      <c r="C81" t="s">
        <v>316</v>
      </c>
      <c r="D81" s="2" t="s">
        <v>327</v>
      </c>
      <c r="E81" s="12" t="s">
        <v>328</v>
      </c>
      <c r="G81">
        <v>2025</v>
      </c>
      <c r="H81">
        <v>1</v>
      </c>
      <c r="AA81">
        <v>1</v>
      </c>
    </row>
    <row r="82" spans="1:33">
      <c r="A82">
        <f t="shared" si="23"/>
        <v>81</v>
      </c>
      <c r="B82" t="str" cm="1">
        <f t="array" ref="B82">_xlfn.IFS(ISBLANK(D82),"",ISBLANK(C82),"no venue",ISBLANK(E82),"no bib",ISNUMBER(SEARCH("xiv", C82)),"arxiv",TRUE,"")</f>
        <v>arxiv</v>
      </c>
      <c r="C82" t="s">
        <v>30</v>
      </c>
      <c r="D82" s="2" t="s">
        <v>329</v>
      </c>
      <c r="E82" s="12" t="s">
        <v>330</v>
      </c>
      <c r="G82">
        <v>2025</v>
      </c>
      <c r="H82">
        <v>1</v>
      </c>
      <c r="AA82">
        <v>1</v>
      </c>
    </row>
    <row r="83" spans="1:33">
      <c r="A83">
        <f t="shared" si="23"/>
        <v>82</v>
      </c>
      <c r="B83" t="str" cm="1">
        <f t="array" ref="B83">_xlfn.IFS(ISBLANK(D83),"",ISBLANK(C83),"no venue",ISBLANK(E83),"no bib",ISNUMBER(SEARCH("xiv", C83)),"arxiv",TRUE,"")</f>
        <v>arxiv</v>
      </c>
      <c r="C83" t="s">
        <v>30</v>
      </c>
      <c r="D83" s="2" t="s">
        <v>331</v>
      </c>
      <c r="E83" s="12" t="s">
        <v>335</v>
      </c>
      <c r="G83">
        <v>2025</v>
      </c>
      <c r="H83">
        <v>1</v>
      </c>
      <c r="AA83">
        <v>1</v>
      </c>
    </row>
    <row r="84" spans="1:33">
      <c r="A84">
        <f t="shared" si="23"/>
        <v>83</v>
      </c>
      <c r="B84" t="str" cm="1">
        <f t="array" ref="B84">_xlfn.IFS(ISBLANK(D84),"",ISBLANK(C84),"no venue",ISBLANK(E84),"no bib",ISNUMBER(SEARCH("xiv", C84)),"arxiv",TRUE,"")</f>
        <v>arxiv</v>
      </c>
      <c r="C84" t="s">
        <v>295</v>
      </c>
      <c r="D84" s="2" t="s">
        <v>332</v>
      </c>
      <c r="E84" s="12" t="s">
        <v>334</v>
      </c>
      <c r="G84">
        <v>2025</v>
      </c>
      <c r="H84">
        <v>1</v>
      </c>
      <c r="AA84">
        <v>1</v>
      </c>
    </row>
    <row r="85" spans="1:33" ht="17">
      <c r="A85">
        <f t="shared" si="23"/>
        <v>84</v>
      </c>
      <c r="B85" t="str" cm="1">
        <f t="array" ref="B85">_xlfn.IFS(ISBLANK(D85),"",ISBLANK(C85),"no venue",ISBLANK(E85),"no bib",ISNUMBER(SEARCH("xiv", C85)),"arxiv",TRUE,"")</f>
        <v>arxiv</v>
      </c>
      <c r="C85" t="s">
        <v>295</v>
      </c>
      <c r="D85" s="2" t="s">
        <v>336</v>
      </c>
      <c r="E85" s="12" t="s">
        <v>337</v>
      </c>
      <c r="G85">
        <v>2025</v>
      </c>
      <c r="H85">
        <v>1</v>
      </c>
      <c r="AA85">
        <v>1</v>
      </c>
      <c r="AG85" s="8"/>
    </row>
    <row r="86" spans="1:33" ht="17">
      <c r="A86">
        <f t="shared" si="23"/>
        <v>85</v>
      </c>
      <c r="B86" t="str" cm="1">
        <f t="array" ref="B86">_xlfn.IFS(ISBLANK(D86),"",ISBLANK(C86),"no venue",ISBLANK(#REF!),"no bib",ISNUMBER(SEARCH("xiv", C86)),"arxiv",TRUE,"")</f>
        <v>arxiv</v>
      </c>
      <c r="C86" t="s">
        <v>339</v>
      </c>
      <c r="D86" s="2" t="s">
        <v>338</v>
      </c>
      <c r="E86" s="12" t="s">
        <v>340</v>
      </c>
      <c r="G86">
        <v>2025</v>
      </c>
      <c r="H86">
        <v>1</v>
      </c>
      <c r="I86">
        <v>1</v>
      </c>
      <c r="J86">
        <v>1</v>
      </c>
      <c r="K86">
        <v>1</v>
      </c>
      <c r="L86">
        <v>1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G86" s="8"/>
    </row>
    <row r="87" spans="1:33" ht="17">
      <c r="A87">
        <f t="shared" si="23"/>
        <v>86</v>
      </c>
      <c r="B87" t="str" cm="1">
        <f t="array" ref="B87">_xlfn.IFS(ISBLANK(D87),"",ISBLANK(C87),"no venue",ISBLANK(#REF!),"no bib",ISNUMBER(SEARCH("xiv", C87)),"arxiv",TRUE,"")</f>
        <v/>
      </c>
      <c r="C87" t="s">
        <v>342</v>
      </c>
      <c r="D87" s="2" t="s">
        <v>341</v>
      </c>
      <c r="E87" s="12" t="s">
        <v>345</v>
      </c>
      <c r="G87">
        <v>2025</v>
      </c>
      <c r="H87">
        <v>1</v>
      </c>
      <c r="AA87">
        <v>1</v>
      </c>
      <c r="AG87" s="8"/>
    </row>
    <row r="88" spans="1:33" ht="17">
      <c r="A88">
        <f t="shared" si="23"/>
        <v>87</v>
      </c>
      <c r="B88" t="str" cm="1">
        <f t="array" ref="B88">_xlfn.IFS(ISBLANK(D88),"",ISBLANK(C88),"no venue",ISBLANK(E88),"no bib",ISNUMBER(SEARCH("xiv", C88)),"arxiv",TRUE,"")</f>
        <v>no venue</v>
      </c>
      <c r="D88" s="2" t="s">
        <v>347</v>
      </c>
      <c r="G88">
        <v>2025</v>
      </c>
      <c r="H88">
        <v>1</v>
      </c>
      <c r="AA88">
        <v>1</v>
      </c>
      <c r="AG88" s="8"/>
    </row>
    <row r="89" spans="1:33" ht="17">
      <c r="A89">
        <f t="shared" si="23"/>
        <v>88</v>
      </c>
      <c r="B89" t="str" cm="1">
        <f t="array" ref="B89">_xlfn.IFS(ISBLANK(D89),"",ISBLANK(C89),"no venue",ISBLANK(E89),"no bib",ISNUMBER(SEARCH("xiv", C89)),"arxiv",TRUE,"")</f>
        <v>no bib</v>
      </c>
      <c r="C89" t="s">
        <v>339</v>
      </c>
      <c r="D89" s="2" t="s">
        <v>346</v>
      </c>
      <c r="G89">
        <v>2025</v>
      </c>
      <c r="H89">
        <v>1</v>
      </c>
      <c r="AA89">
        <v>1</v>
      </c>
      <c r="AG89" s="8"/>
    </row>
    <row r="90" spans="1:33" ht="17">
      <c r="A90">
        <f t="shared" si="23"/>
        <v>89</v>
      </c>
      <c r="B90" t="str" cm="1">
        <f t="array" ref="B90">_xlfn.IFS(ISBLANK(D90),"",ISBLANK(C90),"no venue",ISBLANK(E90),"no bib",ISNUMBER(SEARCH("xiv", C90)),"arxiv",TRUE,"")</f>
        <v/>
      </c>
      <c r="G90">
        <v>2025</v>
      </c>
      <c r="H90">
        <v>1</v>
      </c>
      <c r="AA90">
        <v>1</v>
      </c>
      <c r="AG90" s="8"/>
    </row>
    <row r="91" spans="1:33" ht="17">
      <c r="A91">
        <f t="shared" si="23"/>
        <v>90</v>
      </c>
      <c r="B91" t="str" cm="1">
        <f t="array" ref="B91">_xlfn.IFS(ISBLANK(D91),"",ISBLANK(C91),"no venue",ISBLANK(E91),"no bib",ISNUMBER(SEARCH("xiv", C91)),"arxiv",TRUE,"")</f>
        <v/>
      </c>
      <c r="AG91" s="8"/>
    </row>
    <row r="92" spans="1:33" ht="17">
      <c r="A92">
        <f t="shared" si="23"/>
        <v>91</v>
      </c>
      <c r="B92" t="str" cm="1">
        <f t="array" ref="B92">_xlfn.IFS(ISBLANK(D92),"",ISBLANK(C92),"no venue",ISBLANK(E92),"no bib",ISNUMBER(SEARCH("xiv", C92)),"arxiv",TRUE,"")</f>
        <v/>
      </c>
      <c r="AG92" s="8"/>
    </row>
    <row r="93" spans="1:33" ht="17">
      <c r="A93">
        <f t="shared" si="23"/>
        <v>92</v>
      </c>
      <c r="B93" t="str" cm="1">
        <f t="array" ref="B93">_xlfn.IFS(ISBLANK(D93),"",ISBLANK(C93),"no venue",ISBLANK(E93),"no bib",ISNUMBER(SEARCH("xiv", C93)),"arxiv",TRUE,"")</f>
        <v/>
      </c>
      <c r="AG93" s="8"/>
    </row>
    <row r="94" spans="1:33" ht="17">
      <c r="A94">
        <f t="shared" si="23"/>
        <v>93</v>
      </c>
      <c r="B94" t="str" cm="1">
        <f t="array" ref="B94">_xlfn.IFS(ISBLANK(D94),"",ISBLANK(C94),"no venue",ISBLANK(E94),"no bib",ISNUMBER(SEARCH("xiv", C94)),"arxiv",TRUE,"")</f>
        <v/>
      </c>
      <c r="AG94" s="8"/>
    </row>
    <row r="95" spans="1:33" ht="17">
      <c r="A95">
        <f t="shared" si="23"/>
        <v>94</v>
      </c>
      <c r="B95" t="str" cm="1">
        <f t="array" ref="B95">_xlfn.IFS(ISBLANK(D95),"",ISBLANK(C95),"no venue",ISBLANK(E95),"no bib",ISNUMBER(SEARCH("xiv", C95)),"arxiv",TRUE,"")</f>
        <v/>
      </c>
      <c r="AG95" s="8"/>
    </row>
    <row r="96" spans="1:33" ht="17">
      <c r="A96">
        <f t="shared" si="23"/>
        <v>95</v>
      </c>
      <c r="B96" t="str" cm="1">
        <f t="array" ref="B96">_xlfn.IFS(ISBLANK(D96),"",ISBLANK(C96),"no venue",ISBLANK(E96),"no bib",ISNUMBER(SEARCH("xiv", C96)),"arxiv",TRUE,"")</f>
        <v/>
      </c>
      <c r="AG96" s="8"/>
    </row>
    <row r="97" spans="1:33" ht="17">
      <c r="A97">
        <f t="shared" si="23"/>
        <v>96</v>
      </c>
      <c r="B97" t="str" cm="1">
        <f t="array" ref="B97">_xlfn.IFS(ISBLANK(D97),"",ISBLANK(C97),"no venue",ISBLANK(E97),"no bib",ISNUMBER(SEARCH("xiv", C97)),"arxiv",TRUE,"")</f>
        <v/>
      </c>
      <c r="AG97" s="8"/>
    </row>
    <row r="98" spans="1:33" ht="17">
      <c r="A98">
        <f t="shared" si="23"/>
        <v>97</v>
      </c>
      <c r="B98" t="str" cm="1">
        <f t="array" ref="B98">_xlfn.IFS(ISBLANK(D98),"",ISBLANK(C98),"no venue",ISBLANK(E98),"no bib",ISNUMBER(SEARCH("xiv", C98)),"arxiv",TRUE,"")</f>
        <v/>
      </c>
      <c r="AG98" s="8"/>
    </row>
    <row r="99" spans="1:33" ht="17">
      <c r="A99">
        <f t="shared" si="23"/>
        <v>98</v>
      </c>
      <c r="B99" t="str" cm="1">
        <f t="array" ref="B99">_xlfn.IFS(ISBLANK(D99),"",ISBLANK(C99),"no venue",ISBLANK(E99),"no bib",ISNUMBER(SEARCH("xiv", C99)),"arxiv",TRUE,"")</f>
        <v/>
      </c>
      <c r="AG99" s="8"/>
    </row>
    <row r="100" spans="1:33" ht="17">
      <c r="A100">
        <f t="shared" si="23"/>
        <v>99</v>
      </c>
      <c r="B100" t="str" cm="1">
        <f t="array" ref="B100">_xlfn.IFS(ISBLANK(D100),"",ISBLANK(C100),"no venue",ISBLANK(E100),"no bib",ISNUMBER(SEARCH("xiv", C100)),"arxiv",TRUE,"")</f>
        <v/>
      </c>
      <c r="AG100" s="8"/>
    </row>
    <row r="101" spans="1:33" ht="17">
      <c r="A101">
        <f t="shared" si="23"/>
        <v>100</v>
      </c>
      <c r="B101" t="str" cm="1">
        <f t="array" ref="B101">_xlfn.IFS(ISBLANK(D101),"",ISBLANK(C101),"no venue",ISBLANK(E101),"no bib",ISNUMBER(SEARCH("xiv", C101)),"arxiv",TRUE,"")</f>
        <v/>
      </c>
      <c r="AG101" s="8"/>
    </row>
    <row r="102" spans="1:33" ht="17">
      <c r="A102">
        <f t="shared" si="23"/>
        <v>101</v>
      </c>
      <c r="B102" t="str" cm="1">
        <f t="array" ref="B102">_xlfn.IFS(ISBLANK(D102),"",ISBLANK(C102),"no venue",ISBLANK(E102),"no bib",ISNUMBER(SEARCH("xiv", C102)),"arxiv",TRUE,"")</f>
        <v/>
      </c>
      <c r="AG102" s="8"/>
    </row>
    <row r="103" spans="1:33" ht="17">
      <c r="A103">
        <f t="shared" si="23"/>
        <v>102</v>
      </c>
      <c r="B103" t="str" cm="1">
        <f t="array" ref="B103">_xlfn.IFS(ISBLANK(D103),"",ISBLANK(C103),"no venue",ISBLANK(E103),"no bib",ISNUMBER(SEARCH("xiv", C103)),"arxiv",TRUE,"")</f>
        <v/>
      </c>
      <c r="AG103" s="8"/>
    </row>
    <row r="104" spans="1:33" ht="17">
      <c r="A104">
        <f t="shared" si="23"/>
        <v>103</v>
      </c>
      <c r="B104" t="str" cm="1">
        <f t="array" ref="B104">_xlfn.IFS(ISBLANK(D104),"",ISBLANK(C104),"no venue",ISBLANK(E104),"no bib",ISNUMBER(SEARCH("xiv", C104)),"arxiv",TRUE,"")</f>
        <v/>
      </c>
      <c r="AG104" s="8"/>
    </row>
    <row r="105" spans="1:33" ht="17">
      <c r="A105">
        <f t="shared" si="23"/>
        <v>104</v>
      </c>
      <c r="B105" t="str" cm="1">
        <f t="array" ref="B105">_xlfn.IFS(ISBLANK(D105),"",ISBLANK(C105),"no venue",ISBLANK(E105),"no bib",ISNUMBER(SEARCH("xiv", C105)),"arxiv",TRUE,"")</f>
        <v/>
      </c>
      <c r="AG105" s="8"/>
    </row>
    <row r="106" spans="1:33" ht="17">
      <c r="A106">
        <f t="shared" si="23"/>
        <v>105</v>
      </c>
      <c r="B106" t="str" cm="1">
        <f t="array" ref="B106">_xlfn.IFS(ISBLANK(D106),"",ISBLANK(C106),"no venue",ISBLANK(E106),"no bib",ISNUMBER(SEARCH("xiv", C106)),"arxiv",TRUE,"")</f>
        <v/>
      </c>
      <c r="AG106" s="8"/>
    </row>
    <row r="107" spans="1:33" ht="17">
      <c r="A107">
        <f t="shared" si="23"/>
        <v>106</v>
      </c>
      <c r="B107" t="str" cm="1">
        <f t="array" ref="B107">_xlfn.IFS(ISBLANK(D107),"",ISBLANK(C107),"no venue",ISBLANK(E107),"no bib",ISNUMBER(SEARCH("xiv", C107)),"arxiv",TRUE,"")</f>
        <v/>
      </c>
      <c r="AG107" s="8"/>
    </row>
    <row r="108" spans="1:33" ht="17">
      <c r="A108">
        <f t="shared" si="23"/>
        <v>107</v>
      </c>
      <c r="B108" t="str" cm="1">
        <f t="array" ref="B108">_xlfn.IFS(ISBLANK(D108),"",ISBLANK(C108),"no venue",ISBLANK(E108),"no bib",ISNUMBER(SEARCH("xiv", C108)),"arxiv",TRUE,"")</f>
        <v/>
      </c>
      <c r="AG108" s="8"/>
    </row>
    <row r="109" spans="1:33" ht="17">
      <c r="A109">
        <f t="shared" si="23"/>
        <v>108</v>
      </c>
      <c r="B109" t="str" cm="1">
        <f t="array" ref="B109">_xlfn.IFS(ISBLANK(D109),"",ISBLANK(C109),"no venue",ISBLANK(E109),"no bib",ISNUMBER(SEARCH("xiv", C109)),"arxiv",TRUE,"")</f>
        <v/>
      </c>
      <c r="AG109" s="8"/>
    </row>
    <row r="110" spans="1:33" ht="17">
      <c r="A110">
        <f t="shared" si="23"/>
        <v>109</v>
      </c>
      <c r="B110" t="str" cm="1">
        <f t="array" ref="B110">_xlfn.IFS(ISBLANK(D110),"",ISBLANK(C110),"no venue",ISBLANK(E110),"no bib",ISNUMBER(SEARCH("xiv", C110)),"arxiv",TRUE,"")</f>
        <v/>
      </c>
      <c r="AG110" s="8"/>
    </row>
    <row r="111" spans="1:33" ht="17">
      <c r="A111">
        <f t="shared" si="23"/>
        <v>110</v>
      </c>
      <c r="B111" t="str" cm="1">
        <f t="array" ref="B111">_xlfn.IFS(ISBLANK(D111),"",ISBLANK(C111),"no venue",ISBLANK(E111),"no bib",ISNUMBER(SEARCH("xiv", C111)),"arxiv",TRUE,"")</f>
        <v/>
      </c>
      <c r="AG111" s="8"/>
    </row>
    <row r="112" spans="1:33" ht="17">
      <c r="A112">
        <f t="shared" si="23"/>
        <v>111</v>
      </c>
      <c r="B112" t="str" cm="1">
        <f t="array" ref="B112">_xlfn.IFS(ISBLANK(D112),"",ISBLANK(C112),"no venue",ISBLANK(E112),"no bib",ISNUMBER(SEARCH("xiv", C112)),"arxiv",TRUE,"")</f>
        <v/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C113)),"arxiv",TRUE,"")</f>
        <v/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C114)),"arxiv",TRUE,"")</f>
        <v/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C115)),"arxiv",TRUE,"")</f>
        <v/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C116)),"arxiv",TRUE,"")</f>
        <v/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C127)),"arxiv",TRUE,"")</f>
        <v/>
      </c>
      <c r="AG127" s="8"/>
    </row>
    <row r="128" spans="1:33" ht="17"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7" spans="7:36">
      <c r="G137" s="1" t="s">
        <v>181</v>
      </c>
      <c r="H137">
        <f>SUM(H2:H79)</f>
        <v>77</v>
      </c>
      <c r="I137">
        <f>SUM(I2:I78)</f>
        <v>6</v>
      </c>
      <c r="J137">
        <f>SUM(J2:J78)</f>
        <v>5</v>
      </c>
      <c r="K137">
        <f>SUM(K2:K78)</f>
        <v>11</v>
      </c>
      <c r="L137">
        <f>SUM(L2:L78)</f>
        <v>2</v>
      </c>
      <c r="M137">
        <f>SUM(M2:M78)</f>
        <v>4</v>
      </c>
      <c r="N137">
        <f>SUM(N2:N78)</f>
        <v>4</v>
      </c>
      <c r="O137">
        <f>SUM(O2:O79)</f>
        <v>39</v>
      </c>
      <c r="P137">
        <f>SUM(P2:P78)</f>
        <v>42</v>
      </c>
      <c r="Q137">
        <f>SUM(Q2:Q78)</f>
        <v>43</v>
      </c>
      <c r="R137">
        <f>SUM(R2:R78)</f>
        <v>21</v>
      </c>
      <c r="S137">
        <f>SUM(S2:S78)</f>
        <v>32</v>
      </c>
      <c r="T137">
        <f>SUM(T2:T79)</f>
        <v>40</v>
      </c>
      <c r="U137">
        <f>SUM(U2:U78)</f>
        <v>15</v>
      </c>
      <c r="V137">
        <f>SUM(V2:V78)</f>
        <v>31</v>
      </c>
      <c r="W137">
        <f>SUM(W2:W79)</f>
        <v>33</v>
      </c>
      <c r="X137">
        <f>SUM(X2:X78)</f>
        <v>35</v>
      </c>
      <c r="Y137">
        <f>SUM(Y2:Y79)</f>
        <v>35</v>
      </c>
      <c r="Z137">
        <f>SUM(Z2:Z78)</f>
        <v>40</v>
      </c>
      <c r="AA137">
        <f>SUM(AA2:AA78)</f>
        <v>74</v>
      </c>
      <c r="AD137">
        <f>COUNT(A2:A78)</f>
        <v>77</v>
      </c>
      <c r="AE137">
        <f>SUM(AE2:AE79)</f>
        <v>7</v>
      </c>
      <c r="AF137">
        <f>SUM(AF2:AF79)</f>
        <v>62</v>
      </c>
      <c r="AG137">
        <f>IF(AF137,E80,"")</f>
        <v>0</v>
      </c>
      <c r="AH137">
        <f>IF(W137,E80,"")</f>
        <v>0</v>
      </c>
      <c r="AI137">
        <f>IF(Y137,E80,"")</f>
        <v>0</v>
      </c>
      <c r="AJ137">
        <f>IF(AE137,E80,"")</f>
        <v>0</v>
      </c>
    </row>
    <row r="138" spans="7:36">
      <c r="G138" s="1" t="s">
        <v>182</v>
      </c>
      <c r="H138" s="7">
        <f>H137/$AD$137</f>
        <v>1</v>
      </c>
      <c r="I138" s="7">
        <f>I137/$AD$137</f>
        <v>7.792207792207792E-2</v>
      </c>
      <c r="J138" s="7">
        <f>J137/$AD$137</f>
        <v>6.4935064935064929E-2</v>
      </c>
      <c r="K138" s="7">
        <f>K137/$AD$137</f>
        <v>0.14285714285714285</v>
      </c>
      <c r="L138" s="7">
        <f>L137/$AD$137</f>
        <v>2.5974025974025976E-2</v>
      </c>
      <c r="M138" s="7">
        <f>M137/$AD$137</f>
        <v>5.1948051948051951E-2</v>
      </c>
      <c r="N138" s="7">
        <f>N137/$AD$137</f>
        <v>5.1948051948051951E-2</v>
      </c>
      <c r="O138" s="7">
        <f>O137/$AD$137</f>
        <v>0.50649350649350644</v>
      </c>
      <c r="P138" s="7">
        <f>P137/$AD$137</f>
        <v>0.54545454545454541</v>
      </c>
      <c r="Q138" s="7">
        <f>Q137/$AD$137</f>
        <v>0.55844155844155841</v>
      </c>
      <c r="R138" s="7">
        <f>R137/$AD$137</f>
        <v>0.27272727272727271</v>
      </c>
      <c r="S138" s="7">
        <f>S137/$AD$137</f>
        <v>0.41558441558441561</v>
      </c>
      <c r="T138" s="7">
        <f>T137/$AD$137</f>
        <v>0.51948051948051943</v>
      </c>
      <c r="U138" s="7">
        <f>U137/$AD$137</f>
        <v>0.19480519480519481</v>
      </c>
      <c r="V138" s="7">
        <f>V137/$AD$137</f>
        <v>0.40259740259740262</v>
      </c>
      <c r="W138" s="7">
        <f>W137/$AD$137</f>
        <v>0.42857142857142855</v>
      </c>
      <c r="X138" s="7">
        <f>X137/$AD$137</f>
        <v>0.45454545454545453</v>
      </c>
      <c r="Y138" s="7">
        <f>Y137/$AD$137</f>
        <v>0.45454545454545453</v>
      </c>
      <c r="Z138" s="7">
        <f>Z137/$AD$137</f>
        <v>0.51948051948051943</v>
      </c>
      <c r="AA138" s="7">
        <f>AA137/$AD$137</f>
        <v>0.96103896103896103</v>
      </c>
      <c r="AB138" s="7"/>
      <c r="AC138" s="7"/>
      <c r="AD138">
        <f>COUNT(A3:A80)</f>
        <v>78</v>
      </c>
      <c r="AG138" t="str">
        <f>IF(AF138,#REF!,"")</f>
        <v/>
      </c>
      <c r="AH138" t="e">
        <f>IF(W138,#REF!,"")</f>
        <v>#REF!</v>
      </c>
      <c r="AI138" t="e">
        <f>IF(Y138,#REF!,"")</f>
        <v>#REF!</v>
      </c>
      <c r="AJ138" t="str">
        <f>IF(AE138,#REF!,"")</f>
        <v/>
      </c>
    </row>
  </sheetData>
  <autoFilter ref="A1:AK78" xr:uid="{92277768-849A-7540-AC05-5E1BE041CC8E}"/>
  <conditionalFormatting sqref="B2:B1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(under review)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 xml:space="preserve">ARR^ (under review) 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(under review) 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(under review)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 xml:space="preserve">ARR^ (under review) 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(under review) 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2025-10-09T18:00:00Z</dcterms:modified>
</cp:coreProperties>
</file>