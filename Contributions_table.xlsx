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65C033A6-B9F8-F441-960D-161BD8012A45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2" i="1" l="1"/>
  <c r="AG72" i="1" s="1"/>
  <c r="AH72" i="1"/>
  <c r="AI72" i="1"/>
  <c r="AK72" i="1"/>
  <c r="AF73" i="1"/>
  <c r="AG73" i="1"/>
  <c r="AH73" i="1"/>
  <c r="AI73" i="1"/>
  <c r="AK73" i="1"/>
  <c r="AF74" i="1"/>
  <c r="AG74" i="1" s="1"/>
  <c r="AH74" i="1"/>
  <c r="AI74" i="1"/>
  <c r="AK74" i="1"/>
  <c r="AF75" i="1"/>
  <c r="AG75" i="1"/>
  <c r="AH75" i="1"/>
  <c r="AI75" i="1"/>
  <c r="AK75" i="1"/>
  <c r="AF76" i="1"/>
  <c r="AG76" i="1" s="1"/>
  <c r="AH76" i="1"/>
  <c r="AI76" i="1"/>
  <c r="AK76" i="1"/>
  <c r="AF77" i="1"/>
  <c r="AG77" i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/>
  <c r="AH81" i="1"/>
  <c r="AI81" i="1"/>
  <c r="AK81" i="1"/>
  <c r="AF82" i="1"/>
  <c r="AG82" i="1" s="1"/>
  <c r="AH82" i="1"/>
  <c r="AI82" i="1"/>
  <c r="AK82" i="1"/>
  <c r="AF83" i="1"/>
  <c r="AG83" i="1"/>
  <c r="AH83" i="1"/>
  <c r="AI83" i="1"/>
  <c r="AK83" i="1"/>
  <c r="AF84" i="1"/>
  <c r="AG84" i="1" s="1"/>
  <c r="AH84" i="1"/>
  <c r="AI84" i="1"/>
  <c r="AK84" i="1"/>
  <c r="AF85" i="1"/>
  <c r="AG85" i="1"/>
  <c r="AH85" i="1"/>
  <c r="AI85" i="1"/>
  <c r="AK85" i="1"/>
  <c r="AF86" i="1"/>
  <c r="AG86" i="1" s="1"/>
  <c r="AH86" i="1"/>
  <c r="AI86" i="1"/>
  <c r="AK86" i="1"/>
  <c r="AF87" i="1"/>
  <c r="AG87" i="1"/>
  <c r="AH87" i="1"/>
  <c r="AI87" i="1"/>
  <c r="AK87" i="1"/>
  <c r="AF88" i="1"/>
  <c r="AG88" i="1" s="1"/>
  <c r="AH88" i="1"/>
  <c r="AI88" i="1"/>
  <c r="AK88" i="1"/>
  <c r="AF89" i="1"/>
  <c r="AG89" i="1"/>
  <c r="AH89" i="1"/>
  <c r="AI89" i="1"/>
  <c r="AK89" i="1"/>
  <c r="AF90" i="1"/>
  <c r="AG90" i="1" s="1"/>
  <c r="AH90" i="1"/>
  <c r="AI90" i="1"/>
  <c r="AK90" i="1"/>
  <c r="AF91" i="1"/>
  <c r="AG91" i="1"/>
  <c r="AH91" i="1"/>
  <c r="AI91" i="1"/>
  <c r="AK91" i="1"/>
  <c r="AF92" i="1"/>
  <c r="AG92" i="1" s="1"/>
  <c r="AH92" i="1"/>
  <c r="AI92" i="1"/>
  <c r="AK92" i="1"/>
  <c r="AF93" i="1"/>
  <c r="AG93" i="1"/>
  <c r="AH93" i="1"/>
  <c r="AI93" i="1"/>
  <c r="AK93" i="1"/>
  <c r="AF94" i="1"/>
  <c r="AG94" i="1" s="1"/>
  <c r="AH94" i="1"/>
  <c r="AI94" i="1"/>
  <c r="AK94" i="1"/>
  <c r="AF95" i="1"/>
  <c r="AG95" i="1"/>
  <c r="AH95" i="1"/>
  <c r="AI95" i="1"/>
  <c r="AK95" i="1"/>
  <c r="AF96" i="1"/>
  <c r="AG96" i="1" s="1"/>
  <c r="AH96" i="1"/>
  <c r="AI96" i="1"/>
  <c r="AK96" i="1"/>
  <c r="AF97" i="1"/>
  <c r="AG97" i="1"/>
  <c r="AH97" i="1"/>
  <c r="AI97" i="1"/>
  <c r="AK97" i="1"/>
  <c r="AF98" i="1"/>
  <c r="AG98" i="1" s="1"/>
  <c r="AH98" i="1"/>
  <c r="AI98" i="1"/>
  <c r="AK98" i="1"/>
  <c r="B14" i="1" a="1"/>
  <c r="B14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/>
  <c r="B102" i="1" a="1"/>
  <c r="B102" i="1" s="1"/>
  <c r="B103" i="1" a="1"/>
  <c r="B103" i="1" s="1"/>
  <c r="B104" i="1" a="1"/>
  <c r="B104" i="1" s="1"/>
  <c r="B105" i="1" a="1"/>
  <c r="B105" i="1"/>
  <c r="B106" i="1" a="1"/>
  <c r="B106" i="1"/>
  <c r="B107" i="1" a="1"/>
  <c r="B107" i="1" s="1"/>
  <c r="B108" i="1" a="1"/>
  <c r="B108" i="1" s="1"/>
  <c r="B109" i="1" a="1"/>
  <c r="B109" i="1" s="1"/>
  <c r="B110" i="1" a="1"/>
  <c r="B110" i="1"/>
  <c r="B111" i="1" a="1"/>
  <c r="B111" i="1"/>
  <c r="B112" i="1" a="1"/>
  <c r="B112" i="1" s="1"/>
  <c r="B113" i="1" a="1"/>
  <c r="B113" i="1" s="1"/>
  <c r="B114" i="1" a="1"/>
  <c r="B114" i="1" s="1"/>
  <c r="B115" i="1" a="1"/>
  <c r="B115" i="1"/>
  <c r="B116" i="1" a="1"/>
  <c r="B116" i="1"/>
  <c r="B117" i="1" a="1"/>
  <c r="B117" i="1" s="1"/>
  <c r="B118" i="1" a="1"/>
  <c r="B118" i="1" s="1"/>
  <c r="B119" i="1" a="1"/>
  <c r="B119" i="1" s="1"/>
  <c r="B120" i="1" a="1"/>
  <c r="B120" i="1"/>
  <c r="B121" i="1" a="1"/>
  <c r="B121" i="1"/>
  <c r="B122" i="1" a="1"/>
  <c r="B122" i="1" s="1"/>
  <c r="B123" i="1" a="1"/>
  <c r="B123" i="1" s="1"/>
  <c r="B124" i="1" a="1"/>
  <c r="B124" i="1" s="1"/>
  <c r="B125" i="1" a="1"/>
  <c r="B125" i="1"/>
  <c r="B126" i="1" a="1"/>
  <c r="B126" i="1"/>
  <c r="B127" i="1" a="1"/>
  <c r="B127" i="1" s="1"/>
  <c r="B16" i="1" a="1"/>
  <c r="B16" i="1" s="1"/>
  <c r="B17" i="1" a="1"/>
  <c r="B17" i="1"/>
  <c r="B18" i="1" a="1"/>
  <c r="B18" i="1" s="1"/>
  <c r="B19" i="1" a="1"/>
  <c r="B19" i="1" s="1"/>
  <c r="B28" i="1" a="1"/>
  <c r="B28" i="1"/>
  <c r="B29" i="1" a="1"/>
  <c r="B29" i="1" s="1"/>
  <c r="B30" i="1" a="1"/>
  <c r="B30" i="1" s="1"/>
  <c r="B31" i="1" a="1"/>
  <c r="B31" i="1" s="1"/>
  <c r="B32" i="1" a="1"/>
  <c r="B32" i="1"/>
  <c r="B33" i="1" a="1"/>
  <c r="B33" i="1"/>
  <c r="B34" i="1" a="1"/>
  <c r="B34" i="1" s="1"/>
  <c r="B35" i="1" a="1"/>
  <c r="B35" i="1" s="1"/>
  <c r="B36" i="1" a="1"/>
  <c r="B36" i="1" s="1"/>
  <c r="B37" i="1" a="1"/>
  <c r="B37" i="1"/>
  <c r="B38" i="1" a="1"/>
  <c r="B38" i="1"/>
  <c r="B39" i="1" a="1"/>
  <c r="B39" i="1" s="1"/>
  <c r="B40" i="1" a="1"/>
  <c r="B40" i="1" s="1"/>
  <c r="B41" i="1" a="1"/>
  <c r="B41" i="1" s="1"/>
  <c r="B42" i="1" a="1"/>
  <c r="B42" i="1"/>
  <c r="B43" i="1" a="1"/>
  <c r="B43" i="1"/>
  <c r="B44" i="1" a="1"/>
  <c r="B44" i="1" s="1"/>
  <c r="B45" i="1" a="1"/>
  <c r="B45" i="1" s="1"/>
  <c r="B46" i="1" a="1"/>
  <c r="B46" i="1" s="1"/>
  <c r="B47" i="1" a="1"/>
  <c r="B47" i="1"/>
  <c r="B48" i="1" a="1"/>
  <c r="B48" i="1"/>
  <c r="B49" i="1" a="1"/>
  <c r="B49" i="1" s="1"/>
  <c r="B50" i="1" a="1"/>
  <c r="B50" i="1" s="1"/>
  <c r="B51" i="1" a="1"/>
  <c r="B51" i="1" s="1"/>
  <c r="B52" i="1" a="1"/>
  <c r="B52" i="1"/>
  <c r="B53" i="1" a="1"/>
  <c r="B53" i="1"/>
  <c r="B54" i="1" a="1"/>
  <c r="B54" i="1" s="1"/>
  <c r="B55" i="1" a="1"/>
  <c r="B55" i="1" s="1"/>
  <c r="B56" i="1" a="1"/>
  <c r="B56" i="1" s="1"/>
  <c r="B57" i="1" a="1"/>
  <c r="B57" i="1"/>
  <c r="B58" i="1" a="1"/>
  <c r="B58" i="1"/>
  <c r="B59" i="1" a="1"/>
  <c r="B59" i="1" s="1"/>
  <c r="B60" i="1" a="1"/>
  <c r="B60" i="1" s="1"/>
  <c r="B61" i="1" a="1"/>
  <c r="B61" i="1" s="1"/>
  <c r="B62" i="1" a="1"/>
  <c r="B62" i="1"/>
  <c r="B63" i="1" a="1"/>
  <c r="B63" i="1"/>
  <c r="B65" i="1" a="1"/>
  <c r="B65" i="1" s="1"/>
  <c r="B66" i="1" a="1"/>
  <c r="B66" i="1" s="1"/>
  <c r="B67" i="1" a="1"/>
  <c r="B67" i="1"/>
  <c r="B68" i="1" a="1"/>
  <c r="B68" i="1"/>
  <c r="B69" i="1" a="1"/>
  <c r="B69" i="1" s="1"/>
  <c r="B70" i="1" a="1"/>
  <c r="B70" i="1" s="1"/>
  <c r="B71" i="1" a="1"/>
  <c r="B71" i="1" s="1"/>
  <c r="B72" i="1" a="1"/>
  <c r="B72" i="1"/>
  <c r="B73" i="1" a="1"/>
  <c r="B73" i="1"/>
  <c r="B74" i="1" a="1"/>
  <c r="B74" i="1" s="1"/>
  <c r="B76" i="1" a="1"/>
  <c r="B76" i="1" s="1"/>
  <c r="B77" i="1" a="1"/>
  <c r="B77" i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/>
  <c r="B7" i="1" a="1"/>
  <c r="B7" i="1" s="1"/>
  <c r="B8" i="1" a="1"/>
  <c r="B8" i="1" s="1"/>
  <c r="B9" i="1" a="1"/>
  <c r="B9" i="1" s="1"/>
  <c r="B10" i="1" a="1"/>
  <c r="B10" i="1" s="1"/>
  <c r="B11" i="1" a="1"/>
  <c r="B11" i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7" i="1"/>
  <c r="AE79" i="1"/>
  <c r="W137" i="1"/>
  <c r="AH137" i="1" s="1"/>
  <c r="T137" i="1"/>
  <c r="O137" i="1"/>
  <c r="H137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7" i="1"/>
  <c r="J137" i="1"/>
  <c r="K137" i="1"/>
  <c r="L137" i="1"/>
  <c r="M137" i="1"/>
  <c r="N137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A3" i="2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8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8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7" i="1"/>
  <c r="Q137" i="1"/>
  <c r="R137" i="1"/>
  <c r="S137" i="1"/>
  <c r="U137" i="1"/>
  <c r="V137" i="1"/>
  <c r="X137" i="1"/>
  <c r="AI137" i="1"/>
  <c r="Z137" i="1"/>
  <c r="AA137" i="1"/>
  <c r="A3" i="3" l="1"/>
  <c r="A5" i="1"/>
  <c r="A6" i="1" s="1"/>
  <c r="A4" i="3"/>
  <c r="A4" i="2"/>
  <c r="M4" i="3" s="1"/>
  <c r="AF137" i="1"/>
  <c r="AG137" i="1" s="1"/>
  <c r="AE137" i="1"/>
  <c r="AJ137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8" i="1"/>
  <c r="AD137" i="1"/>
  <c r="K138" i="1" l="1"/>
  <c r="V138" i="1"/>
  <c r="J138" i="1"/>
  <c r="N138" i="1"/>
  <c r="O138" i="1"/>
  <c r="R138" i="1"/>
  <c r="AA138" i="1"/>
  <c r="Q138" i="1"/>
  <c r="X138" i="1"/>
  <c r="Z138" i="1"/>
  <c r="Y138" i="1"/>
  <c r="AI138" i="1" s="1"/>
  <c r="P138" i="1"/>
  <c r="S138" i="1"/>
  <c r="W138" i="1"/>
  <c r="AH138" i="1" s="1"/>
  <c r="I138" i="1"/>
  <c r="U138" i="1"/>
  <c r="L138" i="1"/>
  <c r="H138" i="1"/>
  <c r="M138" i="1"/>
  <c r="T138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<sst xmlns="http://schemas.openxmlformats.org/spreadsheetml/2006/main" count="406" uniqueCount="368">
  <si>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</si>
  <si>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</si>
  <si>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</si>
  <si>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</si>
  <si>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</si>
  <si>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</si>
  <si>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</si>
  <si>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</si>
  <si>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</si>
  <si>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</si>
  <si>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</si>
  <si>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</si>
  <si>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</si>
  <si>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</si>
  <si>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</si>
  <si>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</si>
  <si>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</si>
  <si>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</si>
  <si>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</si>
  <si>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</si>
  <si>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</si>
  <si>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</si>
  <si>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</si>
  <si>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</si>
  <si>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</si>
  <si>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</si>
  <si>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</si>
  <si>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</si>
  <si>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</si>
  <si>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</si>
  <si>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</si>
  <si>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</si>
  <si>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</si>
  <si>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</si>
  <si>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</si>
  <si>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</si>
  <si>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</si>
  <si>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</si>
  <si>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</si>
  <si>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</si>
  <si>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</si>
  <si>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</si>
  <si>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</si>
  <si>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</si>
  <si>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</si>
  <si>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</si>
  <si>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</si>
  <si>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</si>
  <si>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</si>
  <si>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</si>
  <si>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</si>
  <si>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</si>
  <si>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</si>
  <si>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</si>
  <si>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Learning from Naturally Occurring Feedback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</si>
  <si>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</si>
  <si>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</si>
  <si>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</si>
  <si>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</si>
  <si>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</si>
  <si>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</si>
  <si>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</si>
  <si>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</si>
  <si>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</si>
  <si>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</si>
  <si>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</si>
  <si>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</si>
  <si>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</si>
  <si>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</si>
  <si>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</si>
  <si>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</si>
  <si>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</si>
  <si>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</si>
  <si>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</si>
  <si>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</si>
  <si>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</si>
  <si>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</si>
  <si>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</si>
  <si>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</si>
  <si>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</si>
  <si>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</si>
  <si>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</si>
  <si>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</si>
  <si>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</si>
  <si>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</si>
  <si>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</si>
  <si>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</si>
  <si>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</si>
  <si>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</si>
  <si>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</si>
  <si>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</si>
  <si>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</si>
  <si>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</si>
  <si>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</si>
  <si>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</si>
  <si>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</si>
  <si>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</si>
  <si>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</si>
  <si>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</si>
  <si>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</si>
  <si>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</si>
  <si>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</si>
  <si>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</si>
  <si>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</si>
  <si>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</si>
  <si>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</si>
  <si>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</si>
  <si>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</si>
  <si>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</si>
  <si>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</si>
  <si>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</si>
  <si>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</si>
  <si>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</si>
  <si>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</si>
  <si>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</si>
  <si>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</si>
  <si>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</si>
  <si>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</si>
  <si>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</si>
  <si>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</si>
  <si>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</si>
  <si>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</si>
  <si>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</si>
  <si>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</si>
  <si>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</si>
  <si>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</si>
  <si>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</si>
  <si>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</si>
  <si>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</si>
  <si>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</si>
  <si>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</si>
  <si>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</si>
  <si>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</si>
  <si>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</si>
  <si>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</si>
  <si>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</si>
  <si>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</si>
  <si>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</si>
  <si>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</si>
  <si>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</si>
  <si>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</si>
  <si>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</si>
  <si>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</si>
  <si>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</si>
  <si>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</si>
  <si>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</si>
  <si>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</si>
  <si>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</si>
  <si>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</si>
  <si>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</si>
  <si>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</si>
  <si>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</si>
  <si>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</si>
  <si>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</si>
  <si>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</si>
  <si>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</si>
  <si>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</si>
  <si>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</si>
  <si>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</si>
  <si>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</si>
  <si>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</si>
  <si>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</si>
  <si>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</si>
  <si>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</si>
  <si>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</si>
  <si>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</si>
  <si>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</si>
  <si>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</si>
  <si>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</si>
  <si>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</si>
  <si>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</si>
  <si>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</si>
  <si>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</si>
  <si>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</si>
  <si>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</si>
  <si>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</si>
  <si>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</si>
  <si>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</si>
  <si>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</si>
  <si>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</si>
  <si>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</si>
  <si>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</si>
  <si>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</si>
  <si>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</si>
  <si>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</si>
  <si>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</si>
  <si>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</si>
  <si>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</si>
  <si>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</si>
  <si>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</si>
  <si>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</si>
  <si>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</si>
  <si>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</si>
  <si>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</si>
  <si>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</si>
  <si>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</si>
  <si>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</si>
  <si>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</si>
  <si>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</si>
  <si>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</si>
  <si>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</si>
  <si>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</si>
  <si>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</si>
  <si>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</si>
  <si>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</si>
  <si>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</si>
  <si>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</si>
  <si>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</si>
  <si>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</si>
  <si>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</si>
  <si>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</si>
  <si>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</si>
  <si>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</si>
  <si>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</si>
  <si>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</si>
  <si>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</si>
  <si>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</si>
  <si>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</si>
  <si>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</si>
  <si>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</si>
  <si>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</si>
  <si>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</si>
  <si>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</si>
  <si>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</si>
  <si>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</si>
  <si>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</si>
  <si>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</si>
  <si>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</si>
  <si>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</si>
  <si>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</si>
  <si>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</si>
  <si>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</si>
  <si>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</si>
  <si>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</si>
  <si>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</si>
  <si>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</si>
  <si>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</si>
  <si>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</si>
  <si>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</si>
  <si>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</si>
  <si>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</si>
  <si>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</si>
  <si>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</si>
  <si>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</si>
  <si>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</si>
  <si>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</si>
  <si>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</si>
  <si>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</si>
  <si>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</si>
  <si>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</si>
  <si>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</si>
  <si>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</si>
  <si>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</si>
  <si>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</si>
  <si>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</si>
  <si>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</si>
  <si>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</si>
  <si>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</si>
  <si>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</si>
  <si>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</si>
  <si>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</si>
  <si>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</si>
  <si>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</si>
  <si>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</si>
  <si>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</si>
  <si>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</si>
  <si>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</si>
  <si>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</si>
  <si>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</si>
  <si>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</si>
  <si>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</si>
  <si>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</si>
  <si>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</si>
  <si>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</si>
  <si>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</si>
  <si>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</si>
  <si>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</si>
  <si>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</si>
  <si>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</si>
  <si>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</si>
  <si>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</si>
  <si>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</si>
  <si>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</si>
  <si>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</si>
  <si>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</si>
  <si>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</si>
  <si>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</si>
  <si>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</si>
  <si>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</si>
  <si>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</si>
  <si>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</si>
  <si>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</si>
  <si>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</si>
  <si>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Review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</si>
  <si>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</si>
  <si>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</si>
  <si>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</si>
  <si>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</si>
  <si>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</si>
  <si>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</si>
  <si>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</si>
  <si>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</si>
  <si>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</si>
  <si>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</si>
  <si>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</si>
  <si>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</si>
  <si>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</si>
  <si>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</si>
  <si>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</si>
  <si>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</si>
  <si>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</si>
  <si>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</si>
  <si>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</si>
  <si>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</si>
  <si>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</si>
  <si>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</si>
  <si>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</si>
  <si>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</si>
  <si>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</si>
  <si>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</si>
  <si>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singh-etal-2025-global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</si>
  <si>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</si>
  <si>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</si>
  <si>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</si>
  <si>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</si>
  <si>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</si>
  <si>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</si>
  <si>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</si>
  <si>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</si>
  <si>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</si>
  <si>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</si>
  <si>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</si>
  <si>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</si>
  <si>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</si>
  <si>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</si>
  <si>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</si>
  <si>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</si>
  <si>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</si>
  <si>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</si>
  <si>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wilcox2025bigger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</si>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</sst>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" Type="http://schemas.openxmlformats.org/officeDocument/2006/relationships/hyperlink" Target="https://arxiv.org/abs/2407.10944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8"/>
  <sheetViews>
    <sheetView tabSelected="1" workbookViewId="0">
      <pane ySplit="1" topLeftCell="A73" activePane="bottomLeft" state="frozen"/>
      <selection pane="bottomLeft" activeCell="A92" sqref="A92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182</v>
      </c>
      <c r="B1" s="15" t="s">
        <v>329</v>
      </c>
      <c r="C1" s="15" t="s">
        <v>289</v>
      </c>
      <c r="D1" s="15" t="s">
        <v>131</v>
      </c>
      <c r="E1" s="15" t="s">
        <v>247</v>
      </c>
      <c r="F1" s="15" t="s">
        <v>132</v>
      </c>
      <c r="G1" s="15" t="s">
        <v>130</v>
      </c>
      <c r="H1" s="15" t="s">
        <v>259</v>
      </c>
      <c r="I1" s="15" t="s">
        <v>288</v>
      </c>
      <c r="J1" s="15" t="s">
        <v>287</v>
      </c>
      <c r="K1" s="15" t="s">
        <v>284</v>
      </c>
      <c r="L1" s="15" t="s">
        <v>283</v>
      </c>
      <c r="M1" s="15" t="s">
        <v>286</v>
      </c>
      <c r="N1" s="15" t="s">
        <v>285</v>
      </c>
      <c r="O1" s="15" t="s">
        <v>261</v>
      </c>
      <c r="P1" s="15" t="s">
        <v>263</v>
      </c>
      <c r="Q1" s="15" t="s">
        <v>260</v>
      </c>
      <c r="R1" s="15" t="s">
        <v>156</v>
      </c>
      <c r="S1" s="15" t="s">
        <v>171</v>
      </c>
      <c r="T1" s="15" t="s">
        <v>157</v>
      </c>
      <c r="U1" s="15" t="s">
        <v>158</v>
      </c>
      <c r="V1" s="15" t="s">
        <v>262</v>
      </c>
      <c r="W1" s="15" t="s">
        <v>159</v>
      </c>
      <c r="X1" s="15" t="s">
        <v>160</v>
      </c>
      <c r="Y1" s="15" t="s">
        <v>258</v>
      </c>
      <c r="Z1" s="15" t="s">
        <v>164</v>
      </c>
      <c r="AA1" s="15" t="s">
        <v>161</v>
      </c>
      <c r="AB1" s="15" t="s">
        <v>294</v>
      </c>
      <c r="AC1" s="15" t="s">
        <v>293</v>
      </c>
      <c r="AD1" s="15" t="s">
        <v>181</v>
      </c>
      <c r="AE1" s="15" t="s">
        <v>257</v>
      </c>
      <c r="AF1" s="15" t="s">
        <v>248</v>
      </c>
      <c r="AG1" s="15" t="s">
        <v>248</v>
      </c>
      <c r="AH1" s="15" t="s">
        <v>249</v>
      </c>
      <c r="AI1" s="15" t="s">
        <v>250</v>
      </c>
      <c r="AJ1" s="15" t="s">
        <v>257</v>
      </c>
      <c r="AK1" s="15" t="s">
        <v>290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239</v>
      </c>
      <c r="F2" t="s">
        <v>128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126</v>
      </c>
      <c r="D3" s="5" t="s">
        <v>127</v>
      </c>
      <c r="E3" t="s">
        <v>238</v>
      </c>
      <c r="F3" t="s">
        <v>112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124</v>
      </c>
      <c r="E4" t="s">
        <v>206</v>
      </c>
      <c r="F4" t="s">
        <v>125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123</v>
      </c>
      <c r="E5" t="s">
        <v>237</v>
      </c>
      <c r="F5" t="s">
        <v>112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122</v>
      </c>
      <c r="E6" t="s">
        <v>236</v>
      </c>
      <c r="F6" t="s">
        <v>112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121</v>
      </c>
      <c r="E7" t="s">
        <v>235</v>
      </c>
      <c r="F7" t="s">
        <v>120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118</v>
      </c>
      <c r="E8" t="s">
        <v>234</v>
      </c>
      <c r="F8" t="s">
        <v>119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116</v>
      </c>
      <c r="E9" t="s">
        <v>233</v>
      </c>
      <c r="F9" t="s">
        <v>117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114</v>
      </c>
      <c r="E10" t="s">
        <v>232</v>
      </c>
      <c r="F10" t="s">
        <v>115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113</v>
      </c>
      <c r="E11" t="s">
        <v>231</v>
      </c>
      <c r="F11" t="s">
        <v>112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110</v>
      </c>
      <c r="E12" t="s">
        <v>230</v>
      </c>
      <c r="F12" t="s">
        <v>111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146</v>
      </c>
      <c r="E13" t="s">
        <v>229</v>
      </c>
      <c r="F13" t="s">
        <v>147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144</v>
      </c>
      <c r="E14" t="s">
        <v>205</v>
      </c>
      <c r="F14" t="s">
        <v>145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142</v>
      </c>
      <c r="E15" t="s">
        <v>228</v>
      </c>
      <c r="F15" t="s">
        <v>143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140</v>
      </c>
      <c r="E16" t="s">
        <v>227</v>
      </c>
      <c r="F16" t="s">
        <v>141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138</v>
      </c>
      <c r="E17" t="s">
        <v>204</v>
      </c>
      <c r="F17" t="s">
        <v>139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137</v>
      </c>
      <c r="E18" t="s">
        <v>203</v>
      </c>
      <c r="F18" t="s">
        <v>109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93</v>
      </c>
      <c r="E19" t="s">
        <v>226</v>
      </c>
      <c r="F19" t="s">
        <v>94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91</v>
      </c>
      <c r="E20" t="s">
        <v>202</v>
      </c>
      <c r="F20" t="s">
        <v>92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136</v>
      </c>
      <c r="E21" t="s">
        <v>225</v>
      </c>
      <c r="F21" t="s">
        <v>108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89</v>
      </c>
      <c r="E22" t="s">
        <v>201</v>
      </c>
      <c r="F22" t="s">
        <v>90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87</v>
      </c>
      <c r="E23" t="s">
        <v>200</v>
      </c>
      <c r="F23" t="s">
        <v>88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85</v>
      </c>
      <c r="E24" t="s">
        <v>240</v>
      </c>
      <c r="F24" t="s">
        <v>86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135</v>
      </c>
      <c r="E25" t="s">
        <v>224</v>
      </c>
      <c r="F25" t="s">
        <v>107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134</v>
      </c>
      <c r="E26" t="s">
        <v>223</v>
      </c>
      <c r="F26" t="s">
        <v>106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83</v>
      </c>
      <c r="E27" t="s">
        <v>199</v>
      </c>
      <c r="F27" t="s">
        <v>84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81</v>
      </c>
      <c r="E28" t="s">
        <v>222</v>
      </c>
      <c r="F28" t="s">
        <v>82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133</v>
      </c>
      <c r="E29" t="s">
        <v>221</v>
      </c>
      <c r="F29" t="s">
        <v>105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80</v>
      </c>
      <c r="E30" t="s">
        <v>220</v>
      </c>
      <c r="F30" t="s">
        <v>129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78</v>
      </c>
      <c r="E31" s="4" t="s">
        <v>219</v>
      </c>
      <c r="F31" t="s">
        <v>79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306</v>
      </c>
      <c r="E32" s="9" t="s">
        <v>241</v>
      </c>
      <c r="F32" t="s">
        <v>77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75</v>
      </c>
      <c r="E33" t="s">
        <v>198</v>
      </c>
      <c r="F33" t="s">
        <v>76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74</v>
      </c>
      <c r="E34" t="s">
        <v>218</v>
      </c>
      <c r="F34" t="s">
        <v>153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72</v>
      </c>
      <c r="E35" t="s">
        <v>217</v>
      </c>
      <c r="F35" t="s">
        <v>73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71</v>
      </c>
      <c r="E36" t="s">
        <v>216</v>
      </c>
      <c r="F36" t="s">
        <v>155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268</v>
      </c>
      <c r="D37" t="s">
        <v>269</v>
      </c>
      <c r="E37" t="s">
        <v>265</v>
      </c>
      <c r="F37" t="s">
        <v>266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70</v>
      </c>
      <c r="E38" t="s">
        <v>215</v>
      </c>
      <c r="F38" t="s">
        <v>154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2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104</v>
      </c>
      <c r="E39" t="s">
        <v>214</v>
      </c>
      <c r="F39" t="s">
        <v>103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102</v>
      </c>
      <c r="E40" t="s">
        <v>207</v>
      </c>
      <c r="F40" t="s">
        <v>101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100</v>
      </c>
      <c r="E41" t="s">
        <v>208</v>
      </c>
      <c r="F41" t="s">
        <v>99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69</v>
      </c>
      <c r="E42" t="s">
        <v>197</v>
      </c>
      <c r="F42" t="s">
        <v>153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67</v>
      </c>
      <c r="E43" t="s">
        <v>196</v>
      </c>
      <c r="F43" t="s">
        <v>68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176</v>
      </c>
      <c r="D44" t="s">
        <v>177</v>
      </c>
      <c r="E44" t="s">
        <v>195</v>
      </c>
      <c r="F44" t="s">
        <v>178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176</v>
      </c>
      <c r="D45" t="s">
        <v>273</v>
      </c>
      <c r="E45" t="s">
        <v>272</v>
      </c>
      <c r="F45" t="s">
        <v>274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66</v>
      </c>
      <c r="E46" s="9" t="s">
        <v>242</v>
      </c>
      <c r="F46" t="s">
        <v>152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64</v>
      </c>
      <c r="E47" t="s">
        <v>213</v>
      </c>
      <c r="F47" t="s">
        <v>65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267</v>
      </c>
      <c r="E48" t="s">
        <v>243</v>
      </c>
      <c r="F48" t="s">
        <v>266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175</v>
      </c>
      <c r="E49" t="s">
        <v>212</v>
      </c>
      <c r="F49" t="s">
        <v>174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173</v>
      </c>
      <c r="E50" t="s">
        <v>211</v>
      </c>
      <c r="F50" t="s">
        <v>172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62</v>
      </c>
      <c r="E51" t="s">
        <v>210</v>
      </c>
      <c r="F51" t="s">
        <v>63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60</v>
      </c>
      <c r="E52" s="14" t="s">
        <v>194</v>
      </c>
      <c r="F52" t="s">
        <v>61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59</v>
      </c>
      <c r="E53" t="s">
        <v>264</v>
      </c>
      <c r="F53" t="s">
        <v>151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98</v>
      </c>
      <c r="E54" t="s">
        <v>209</v>
      </c>
      <c r="F54" t="s">
        <v>97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357</v>
      </c>
      <c r="D55" t="s">
        <v>57</v>
      </c>
      <c r="E55" t="s">
        <v>244</v>
      </c>
      <c r="F55" t="s">
        <v>58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307</v>
      </c>
      <c r="D56" s="2" t="s">
        <v>300</v>
      </c>
      <c r="E56" t="s">
        <v>193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185</v>
      </c>
      <c r="D57" t="s">
        <v>170</v>
      </c>
      <c r="E57" s="12" t="s">
        <v>309</v>
      </c>
      <c r="F57" t="s">
        <v>169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310</v>
      </c>
      <c r="D58" t="s">
        <v>55</v>
      </c>
      <c r="E58" s="12" t="s">
        <v>311</v>
      </c>
      <c r="F58" t="s">
        <v>56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168</v>
      </c>
      <c r="E59" t="s">
        <v>192</v>
      </c>
      <c r="F59" t="s">
        <v>167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296</v>
      </c>
      <c r="D60" t="s">
        <v>166</v>
      </c>
      <c r="E60" t="s">
        <v>245</v>
      </c>
      <c r="F60" t="s">
        <v>165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246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312</v>
      </c>
      <c r="D62" t="s">
        <v>96</v>
      </c>
      <c r="E62" s="12" t="s">
        <v>318</v>
      </c>
      <c r="F62" t="s">
        <v>95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t="s">
        <v>54</v>
      </c>
      <c r="E63" t="s">
        <v>191</v>
      </c>
      <c r="F63" t="s">
        <v>150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344</v>
      </c>
      <c r="D64" t="s">
        <v>53</v>
      </c>
      <c r="E64" t="s">
        <v>190</v>
      </c>
      <c r="F64" t="s">
        <v>149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183</v>
      </c>
      <c r="D65" t="s">
        <v>52</v>
      </c>
      <c r="E65" s="9" t="s">
        <v>308</v>
      </c>
      <c r="F65" t="s">
        <v>148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338</v>
      </c>
      <c r="D66" t="s">
        <v>163</v>
      </c>
      <c r="E66" s="12" t="s">
        <v>339</v>
      </c>
      <c r="F66" t="s">
        <v>162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2" si="19">IF(AF66,E66,"")</f>
        <v>wilcox2025bigger</v>
      </c>
      <c r="AH66" t="str">
        <f t="shared" ref="AH66:AH72" si="20">IF(W66,E66,"")</f>
        <v>wilcox2025bigger</v>
      </c>
      <c r="AI66" t="str">
        <f t="shared" ref="AI66:AI72" si="21">IF(Y66,E66,"")</f>
        <v>wilcox2025bigger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189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8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7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343</v>
      </c>
      <c r="D68" s="1" t="s">
        <v>186</v>
      </c>
      <c r="E68" t="s">
        <v>188</v>
      </c>
      <c r="F68" t="s">
        <v>187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251</v>
      </c>
      <c r="D69" s="2" t="s">
        <v>252</v>
      </c>
      <c r="E69" s="1" t="s">
        <v>254</v>
      </c>
      <c r="F69" s="10" t="s">
        <v>253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313</v>
      </c>
      <c r="D70" s="2" t="s">
        <v>255</v>
      </c>
      <c r="E70" s="9" t="s">
        <v>314</v>
      </c>
      <c r="F70" s="10" t="s">
        <v>256</v>
      </c>
      <c r="G70">
        <v>2024</v>
      </c>
      <c r="H70">
        <v>1</v>
      </c>
      <c r="K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184</v>
      </c>
      <c r="D71" t="s">
        <v>304</v>
      </c>
      <c r="E71" s="12" t="s">
        <v>303</v>
      </c>
      <c r="F71" s="10" t="s">
        <v>302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292</v>
      </c>
      <c r="D72" s="13" t="s">
        <v>301</v>
      </c>
      <c r="E72" t="s">
        <v>270</v>
      </c>
      <c r="F72" s="10" t="s">
        <v>271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8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98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292</v>
      </c>
      <c r="D73" s="5" t="s">
        <v>275</v>
      </c>
      <c r="E73" t="s">
        <v>282</v>
      </c>
      <c r="F73" s="5" t="s">
        <v>276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316</v>
      </c>
      <c r="D74" s="5" t="s">
        <v>277</v>
      </c>
      <c r="E74" t="s">
        <v>279</v>
      </c>
      <c r="F74" s="5" t="s">
        <v>278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291</v>
      </c>
      <c r="D75" s="2" t="s">
        <v>297</v>
      </c>
      <c r="E75" s="12" t="s">
        <v>298</v>
      </c>
      <c r="F75" s="5" t="s">
        <v>299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292</v>
      </c>
      <c r="D76" s="5" t="s">
        <v>280</v>
      </c>
      <c r="E76" s="9" t="s">
        <v>315</v>
      </c>
      <c r="F76" s="5" t="s">
        <v>281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184</v>
      </c>
      <c r="D77" s="2" t="s">
        <v>317</v>
      </c>
      <c r="E77" s="12" t="s">
        <v>319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185</v>
      </c>
      <c r="D78" s="2" t="s">
        <v>305</v>
      </c>
      <c r="E78" s="9" t="s">
        <v>367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312</v>
      </c>
      <c r="D79" s="11" t="s">
        <v>295</v>
      </c>
      <c r="E79" s="12" t="s">
        <v>320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singh-etal-2025-global</v>
      </c>
      <c r="AH79" t="str">
        <f t="shared" si="26"/>
        <v>singh-etal-2025-global</v>
      </c>
      <c r="AI79" t="str">
        <f t="shared" si="27"/>
        <v>singh-etal-2025-global</v>
      </c>
      <c r="AK79">
        <f t="shared" si="28"/>
        <v>0</v>
      </c>
    </row>
    <row r="80" spans="1:37">
      <c r="A80">
        <f t="shared" si="23"/>
        <v>79</v>
      </c>
      <c r="C80" t="s">
        <v>322</v>
      </c>
      <c r="D80" s="2" t="s">
        <v>321</v>
      </c>
      <c r="E80" s="12" t="s">
        <v>346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312</v>
      </c>
      <c r="D81" s="2" t="s">
        <v>323</v>
      </c>
      <c r="E81" s="12" t="s">
        <v>324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325</v>
      </c>
      <c r="E82" s="12" t="s">
        <v>326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351</v>
      </c>
      <c r="C83" t="s">
        <v>347</v>
      </c>
      <c r="D83" s="2" t="s">
        <v>327</v>
      </c>
      <c r="E83" s="12" t="s">
        <v>331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291</v>
      </c>
      <c r="D84" s="2" t="s">
        <v>328</v>
      </c>
      <c r="E84" s="12" t="s">
        <v>330</v>
      </c>
      <c r="G84">
        <v>2025</v>
      </c>
      <c r="H84">
        <v>1</v>
      </c>
      <c r="AA84">
        <v>1</v>
      </c>
      <c r="AD84">
        <v>1</v>
      </c>
      <c r="AF84">
        <f t="shared" si="24"/>
        <v>0</v>
      </c>
      <c r="AG84" t="str">
        <f t="shared" si="25"/>
        <v/>
      </c>
      <c r="AH84" t="str">
        <f t="shared" si="26"/>
        <v/>
      </c>
      <c r="AI84" t="str">
        <f t="shared" si="27"/>
        <v/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291</v>
      </c>
      <c r="D85" s="2" t="s">
        <v>332</v>
      </c>
      <c r="E85" s="12" t="s">
        <v>333</v>
      </c>
      <c r="G85">
        <v>2025</v>
      </c>
      <c r="H85">
        <v>1</v>
      </c>
      <c r="AA85">
        <v>1</v>
      </c>
      <c r="AD85">
        <v>1</v>
      </c>
      <c r="AF85">
        <f t="shared" si="24"/>
        <v>0</v>
      </c>
      <c r="AG85" t="str">
        <f t="shared" si="25"/>
        <v/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335</v>
      </c>
      <c r="D86" s="2" t="s">
        <v>334</v>
      </c>
      <c r="E86" s="12" t="s">
        <v>336</v>
      </c>
      <c r="G86">
        <v>2025</v>
      </c>
      <c r="H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>no categories</v>
      </c>
      <c r="C87" t="s">
        <v>345</v>
      </c>
      <c r="D87" s="2" t="s">
        <v>337</v>
      </c>
      <c r="E87" s="12" t="s">
        <v>340</v>
      </c>
      <c r="G87">
        <v>2025</v>
      </c>
      <c r="H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/>
      </c>
      <c r="AI87" t="str">
        <f t="shared" si="27"/>
        <v/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>no categories</v>
      </c>
      <c r="C88" t="s">
        <v>292</v>
      </c>
      <c r="D88" s="2" t="s">
        <v>342</v>
      </c>
      <c r="E88" s="9" t="s">
        <v>348</v>
      </c>
      <c r="G88">
        <v>2025</v>
      </c>
      <c r="H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335</v>
      </c>
      <c r="D89" s="2" t="s">
        <v>341</v>
      </c>
      <c r="E89" s="12" t="s">
        <v>349</v>
      </c>
      <c r="G89">
        <v>2025</v>
      </c>
      <c r="H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">
        <v>351</v>
      </c>
      <c r="C90" t="s">
        <v>347</v>
      </c>
      <c r="D90" s="2" t="s">
        <v>350</v>
      </c>
      <c r="E90" s="12" t="s">
        <v>354</v>
      </c>
      <c r="G90">
        <v>2026</v>
      </c>
      <c r="H90">
        <v>1</v>
      </c>
      <c r="AA90">
        <v>1</v>
      </c>
      <c r="AD90">
        <v>1</v>
      </c>
      <c r="AF90">
        <f t="shared" si="24"/>
        <v>0</v>
      </c>
      <c r="AG90" t="str">
        <f t="shared" si="25"/>
        <v/>
      </c>
      <c r="AH90" t="str">
        <f t="shared" si="26"/>
        <v/>
      </c>
      <c r="AI90" t="str">
        <f t="shared" si="27"/>
        <v/>
      </c>
      <c r="AK90">
        <f t="shared" si="28"/>
        <v>0</v>
      </c>
    </row>
    <row r="91" spans="1:37">
      <c r="A91">
        <f t="shared" si="23"/>
        <v>90</v>
      </c>
      <c r="B91" t="str" cm="1">
        <f t="array" ref="B91">_xlfn.IFS(ISBLANK(D91),"",ISBLANK(C91),"no venue",ISBLANK(E91),"no bib",ISNUMBER(SEARCH("xiv", C91)),"arxiv",SUM(I91:AA91)&lt;3,"no categories",TRUE,"")</f>
        <v>arxiv</v>
      </c>
      <c r="C91" t="s">
        <v>344</v>
      </c>
      <c r="D91" s="2" t="s">
        <v>352</v>
      </c>
      <c r="E91" s="12" t="s">
        <v>353</v>
      </c>
      <c r="G91">
        <v>2026</v>
      </c>
      <c r="H91">
        <v>1</v>
      </c>
      <c r="N91">
        <v>1</v>
      </c>
      <c r="O91">
        <v>1</v>
      </c>
      <c r="R91">
        <v>1</v>
      </c>
      <c r="U91">
        <v>1</v>
      </c>
      <c r="Y91">
        <v>1</v>
      </c>
      <c r="AA91">
        <v>1</v>
      </c>
      <c r="AD91">
        <v>1</v>
      </c>
      <c r="AF91">
        <f t="shared" si="24"/>
        <v>0</v>
      </c>
      <c r="AG91" t="str">
        <f t="shared" si="25"/>
        <v/>
      </c>
      <c r="AH91" t="str">
        <f t="shared" si="26"/>
        <v/>
      </c>
      <c r="AI91" t="str">
        <f t="shared" si="27"/>
        <v>chang2025globalpiqaevaluatingphysical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/>
      </c>
      <c r="C92" s="2" t="s">
        <v>310</v>
      </c>
      <c r="D92" s="2" t="s">
        <v>355</v>
      </c>
      <c r="E92" s="12" t="s">
        <v>356</v>
      </c>
      <c r="G92">
        <v>2026</v>
      </c>
      <c r="H92">
        <v>1</v>
      </c>
      <c r="I92">
        <v>1</v>
      </c>
      <c r="N92">
        <v>1</v>
      </c>
      <c r="O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Z92">
        <v>1</v>
      </c>
      <c r="AA92">
        <v>1</v>
      </c>
      <c r="AB92">
        <v>1</v>
      </c>
      <c r="AD92">
        <v>1</v>
      </c>
      <c r="AF92">
        <f t="shared" si="24"/>
        <v>1</v>
      </c>
      <c r="AG92" t="str">
        <f t="shared" si="25"/>
        <v>charpentier-etal-2025-findings</v>
      </c>
      <c r="AH92" t="str">
        <f t="shared" si="26"/>
        <v/>
      </c>
      <c r="AI92" t="str">
        <f t="shared" si="27"/>
        <v/>
      </c>
      <c r="AK92">
        <f t="shared" si="28"/>
        <v>1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>no bib</v>
      </c>
      <c r="C93" t="s">
        <v>344</v>
      </c>
      <c r="D93" s="2" t="s">
        <v>358</v>
      </c>
      <c r="G93">
        <v>2026</v>
      </c>
      <c r="H93">
        <v>1</v>
      </c>
      <c r="I93">
        <v>1</v>
      </c>
      <c r="L93">
        <v>1</v>
      </c>
      <c r="N93">
        <v>1</v>
      </c>
      <c r="Q93">
        <v>1</v>
      </c>
      <c r="S93">
        <v>1</v>
      </c>
      <c r="Y93">
        <v>1</v>
      </c>
      <c r="Z93">
        <v>1</v>
      </c>
      <c r="AA93">
        <v>1</v>
      </c>
      <c r="AD93">
        <v>1</v>
      </c>
      <c r="AF93">
        <f t="shared" si="24"/>
        <v>0</v>
      </c>
      <c r="AG93" t="str">
        <f t="shared" si="25"/>
        <v/>
      </c>
      <c r="AH93" t="str">
        <f t="shared" si="26"/>
        <v/>
      </c>
      <c r="AI93">
        <f t="shared" si="27"/>
        <v>0</v>
      </c>
      <c r="AK93">
        <f t="shared" si="28"/>
        <v>0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arxiv</v>
      </c>
      <c r="C94" t="s">
        <v>344</v>
      </c>
      <c r="D94" s="9" t="s">
        <v>360</v>
      </c>
      <c r="E94" s="12" t="s">
        <v>359</v>
      </c>
      <c r="G94">
        <v>2026</v>
      </c>
      <c r="H94">
        <v>1</v>
      </c>
      <c r="O94">
        <v>1</v>
      </c>
      <c r="R94">
        <v>1</v>
      </c>
      <c r="S94">
        <v>1</v>
      </c>
      <c r="U94">
        <v>1</v>
      </c>
      <c r="W94">
        <v>1</v>
      </c>
      <c r="Y94">
        <v>1</v>
      </c>
      <c r="AA94">
        <v>1</v>
      </c>
      <c r="AD94">
        <v>1</v>
      </c>
      <c r="AF94">
        <f t="shared" si="24"/>
        <v>0</v>
      </c>
      <c r="AG94" t="str">
        <f t="shared" si="25"/>
        <v/>
      </c>
      <c r="AH94" t="str">
        <f t="shared" si="26"/>
        <v>suarez2026commonlid</v>
      </c>
      <c r="AI94" t="str">
        <f t="shared" si="27"/>
        <v>suarez2026commonlid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344</v>
      </c>
      <c r="D95" s="2" t="s">
        <v>361</v>
      </c>
      <c r="E95" s="12" t="s">
        <v>362</v>
      </c>
      <c r="G95">
        <v>2026</v>
      </c>
      <c r="H95">
        <v>1</v>
      </c>
      <c r="K95">
        <v>1</v>
      </c>
      <c r="Q95">
        <v>1</v>
      </c>
      <c r="S95">
        <v>1</v>
      </c>
      <c r="W95">
        <v>1</v>
      </c>
      <c r="Y95">
        <v>1</v>
      </c>
      <c r="Z95">
        <v>1</v>
      </c>
      <c r="AA95">
        <v>1</v>
      </c>
      <c r="AD95">
        <v>1</v>
      </c>
      <c r="AF95">
        <f t="shared" si="24"/>
        <v>0</v>
      </c>
      <c r="AG95" t="str">
        <f t="shared" si="25"/>
        <v/>
      </c>
      <c r="AH95" t="str">
        <f t="shared" si="26"/>
        <v>rahamim2026will</v>
      </c>
      <c r="AI95" t="str">
        <f t="shared" si="27"/>
        <v>rahamim2026will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344</v>
      </c>
      <c r="D96" s="2" t="s">
        <v>363</v>
      </c>
      <c r="E96" s="12" t="s">
        <v>366</v>
      </c>
      <c r="G96">
        <v>2026</v>
      </c>
      <c r="H96">
        <v>1</v>
      </c>
      <c r="O96">
        <v>1</v>
      </c>
      <c r="Q96">
        <v>1</v>
      </c>
      <c r="T96">
        <v>1</v>
      </c>
      <c r="AA96">
        <v>1</v>
      </c>
      <c r="AD96">
        <v>1</v>
      </c>
      <c r="AF96">
        <f t="shared" si="24"/>
        <v>1</v>
      </c>
      <c r="AG96" t="str">
        <f t="shared" si="25"/>
        <v>ashury2026errormap</v>
      </c>
      <c r="AH96" t="str">
        <f t="shared" si="26"/>
        <v/>
      </c>
      <c r="AI96" t="str">
        <f t="shared" si="27"/>
        <v/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344</v>
      </c>
      <c r="D97" s="2" t="s">
        <v>364</v>
      </c>
      <c r="E97" s="12" t="s">
        <v>365</v>
      </c>
      <c r="G97">
        <v>2026</v>
      </c>
      <c r="H97">
        <v>1</v>
      </c>
      <c r="O97">
        <v>1</v>
      </c>
      <c r="P97">
        <v>1</v>
      </c>
      <c r="T97">
        <v>1</v>
      </c>
      <c r="X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ashury2026robustness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/>
      </c>
      <c r="C98" t="s">
        <v>344</v>
      </c>
      <c r="G98">
        <v>2026</v>
      </c>
      <c r="AF98">
        <f t="shared" si="24"/>
        <v>0</v>
      </c>
      <c r="AG98" t="str">
        <f t="shared" si="25"/>
        <v/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 ht="17">
      <c r="A99">
        <f t="shared" si="23"/>
        <v>98</v>
      </c>
      <c r="B99" t="str" cm="1">
        <f t="array" ref="B99">_xlfn.IFS(ISBLANK(D99),"",ISBLANK(C99),"no venue",ISBLANK(E99),"no bib",ISNUMBER(SEARCH("xiv", C99)),"arxiv",SUM(I99:AA99)&lt;3,"no categories",TRUE,"")</f>
        <v/>
      </c>
      <c r="C99" t="s">
        <v>344</v>
      </c>
      <c r="G99">
        <v>2026</v>
      </c>
      <c r="AG99" s="8"/>
    </row>
    <row r="100" spans="1:37" ht="17">
      <c r="A100">
        <f t="shared" si="23"/>
        <v>99</v>
      </c>
      <c r="B100" t="str" cm="1">
        <f t="array" ref="B100">_xlfn.IFS(ISBLANK(D100),"",ISBLANK(C100),"no venue",ISBLANK(E100),"no bib",ISNUMBER(SEARCH("xiv", C100)),"arxiv",SUM(I100:AA100)&lt;3,"no categories",TRUE,"")</f>
        <v/>
      </c>
      <c r="C100" t="s">
        <v>344</v>
      </c>
      <c r="AG100" s="8"/>
    </row>
    <row r="101" spans="1:37" ht="17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AG101" s="8"/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7" spans="7:36">
      <c r="G137" s="1" t="s">
        <v>179</v>
      </c>
      <c r="H137">
        <f>SUM(H2:H79)</f>
        <v>77</v>
      </c>
      <c r="I137">
        <f t="shared" ref="I137:N137" si="30">SUM(I2:I78)</f>
        <v>6</v>
      </c>
      <c r="J137">
        <f t="shared" si="30"/>
        <v>5</v>
      </c>
      <c r="K137">
        <f t="shared" si="30"/>
        <v>11</v>
      </c>
      <c r="L137">
        <f t="shared" si="30"/>
        <v>2</v>
      </c>
      <c r="M137">
        <f t="shared" si="30"/>
        <v>4</v>
      </c>
      <c r="N137">
        <f t="shared" si="30"/>
        <v>4</v>
      </c>
      <c r="O137">
        <f>SUM(O2:O79)</f>
        <v>39</v>
      </c>
      <c r="P137">
        <f>SUM(P2:P78)</f>
        <v>42</v>
      </c>
      <c r="Q137">
        <f>SUM(Q2:Q78)</f>
        <v>43</v>
      </c>
      <c r="R137">
        <f>SUM(R2:R78)</f>
        <v>21</v>
      </c>
      <c r="S137">
        <f>SUM(S2:S78)</f>
        <v>32</v>
      </c>
      <c r="T137">
        <f>SUM(T2:T79)</f>
        <v>40</v>
      </c>
      <c r="U137">
        <f>SUM(U2:U78)</f>
        <v>15</v>
      </c>
      <c r="V137">
        <f>SUM(V2:V78)</f>
        <v>31</v>
      </c>
      <c r="W137">
        <f>SUM(W2:W79)</f>
        <v>33</v>
      </c>
      <c r="X137">
        <f>SUM(X2:X78)</f>
        <v>35</v>
      </c>
      <c r="Y137">
        <f>SUM(Y2:Y79)</f>
        <v>35</v>
      </c>
      <c r="Z137">
        <f>SUM(Z2:Z78)</f>
        <v>40</v>
      </c>
      <c r="AA137">
        <f>SUM(AA2:AA78)</f>
        <v>74</v>
      </c>
      <c r="AD137">
        <f>COUNT(A2:A78)</f>
        <v>77</v>
      </c>
      <c r="AE137">
        <f>SUM(AE2:AE79)</f>
        <v>7</v>
      </c>
      <c r="AF137">
        <f>SUM(AF2:AF79)</f>
        <v>63</v>
      </c>
      <c r="AG137" t="str">
        <f>IF(AF137,E80,"")</f>
        <v>ashurytahan2025mightytorrbenchmarktable</v>
      </c>
      <c r="AH137" t="str">
        <f>IF(W137,E80,"")</f>
        <v>ashurytahan2025mightytorrbenchmarktable</v>
      </c>
      <c r="AI137" t="str">
        <f>IF(Y137,E80,"")</f>
        <v>ashurytahan2025mightytorrbenchmarktable</v>
      </c>
      <c r="AJ137" t="str">
        <f>IF(AE137,E80,"")</f>
        <v>ashurytahan2025mightytorrbenchmarktable</v>
      </c>
    </row>
    <row r="138" spans="7:36">
      <c r="G138" s="1" t="s">
        <v>180</v>
      </c>
      <c r="H138" s="7">
        <f t="shared" ref="H138:AA138" si="31">H137/$AD$137</f>
        <v>1</v>
      </c>
      <c r="I138" s="7">
        <f t="shared" si="31"/>
        <v>7.792207792207792E-2</v>
      </c>
      <c r="J138" s="7">
        <f t="shared" si="31"/>
        <v>6.4935064935064929E-2</v>
      </c>
      <c r="K138" s="7">
        <f t="shared" si="31"/>
        <v>0.14285714285714285</v>
      </c>
      <c r="L138" s="7">
        <f t="shared" si="31"/>
        <v>2.5974025974025976E-2</v>
      </c>
      <c r="M138" s="7">
        <f t="shared" si="31"/>
        <v>5.1948051948051951E-2</v>
      </c>
      <c r="N138" s="7">
        <f t="shared" si="31"/>
        <v>5.1948051948051951E-2</v>
      </c>
      <c r="O138" s="7">
        <f t="shared" si="31"/>
        <v>0.50649350649350644</v>
      </c>
      <c r="P138" s="7">
        <f t="shared" si="31"/>
        <v>0.54545454545454541</v>
      </c>
      <c r="Q138" s="7">
        <f t="shared" si="31"/>
        <v>0.55844155844155841</v>
      </c>
      <c r="R138" s="7">
        <f t="shared" si="31"/>
        <v>0.27272727272727271</v>
      </c>
      <c r="S138" s="7">
        <f t="shared" si="31"/>
        <v>0.41558441558441561</v>
      </c>
      <c r="T138" s="7">
        <f t="shared" si="31"/>
        <v>0.51948051948051943</v>
      </c>
      <c r="U138" s="7">
        <f t="shared" si="31"/>
        <v>0.19480519480519481</v>
      </c>
      <c r="V138" s="7">
        <f t="shared" si="31"/>
        <v>0.40259740259740262</v>
      </c>
      <c r="W138" s="7">
        <f t="shared" si="31"/>
        <v>0.42857142857142855</v>
      </c>
      <c r="X138" s="7">
        <f t="shared" si="31"/>
        <v>0.45454545454545453</v>
      </c>
      <c r="Y138" s="7">
        <f t="shared" si="31"/>
        <v>0.45454545454545453</v>
      </c>
      <c r="Z138" s="7">
        <f t="shared" si="31"/>
        <v>0.51948051948051943</v>
      </c>
      <c r="AA138" s="7">
        <f t="shared" si="31"/>
        <v>0.96103896103896103</v>
      </c>
      <c r="AB138" s="7"/>
      <c r="AC138" s="7"/>
      <c r="AD138">
        <f>COUNT(A3:A80)</f>
        <v>78</v>
      </c>
      <c r="AG138" t="str">
        <f>IF(AF138,#REF!,"")</f>
        <v/>
      </c>
      <c r="AH138" t="e">
        <f>IF(W138,#REF!,"")</f>
        <v>#REF!</v>
      </c>
      <c r="AI138" t="e">
        <f>IF(Y138,#REF!,"")</f>
        <v>#REF!</v>
      </c>
      <c r="AJ138" t="str">
        <f>IF(AE138,#REF!,"")</f>
        <v/>
      </c>
    </row>
  </sheetData>
  <autoFilter ref="A1:AK78" xr:uid="{92277768-849A-7540-AC05-5E1BE041CC8E}"/>
  <conditionalFormatting sqref="B2:B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0" r:id="rId44" display="https://scholar.google.com/citations?view_op=view_citation&amp;hl=en&amp;user=8b8IhUYAAAAJ&amp;sortby=pubdate&amp;citation_for_view=8b8IhUYAAAAJ:738O_yMBCRsC" xr:uid="{7F06036E-46CB-7B4A-B5A9-01BD9FEB494D}"/>
    <hyperlink ref="D91" r:id="rId45" display="https://scholar.google.com/citations?view_op=view_citation&amp;hl=en&amp;user=8b8IhUYAAAAJ&amp;sortby=pubdate&amp;citation_for_view=8b8IhUYAAAAJ:K3LRdlH-MEoC" xr:uid="{E3BF1F50-9A61-BD47-80DD-3E7FA5F51488}"/>
    <hyperlink ref="D92" r:id="rId46" display="https://scholar.google.com/citations?view_op=view_citation&amp;hl=en&amp;user=8b8IhUYAAAAJ&amp;sortby=pubdate&amp;citation_for_view=8b8IhUYAAAAJ:tOudhMTPpwUC" xr:uid="{A1EF67F5-E28E-A14D-A57D-7545932AF158}"/>
    <hyperlink ref="C92" r:id="rId47" display="BabyLM@EMNLP" xr:uid="{D8DDEF9E-B21E-CD40-A406-DFC0EB019B6A}"/>
    <hyperlink ref="D93" r:id="rId48" display="https://scholar.google.com/citations?view_op=view_citation&amp;hl=en&amp;user=8b8IhUYAAAAJ&amp;sortby=pubdate&amp;citation_for_view=8b8IhUYAAAAJ:4fKUyHm3Qg0C" xr:uid="{63AC3719-785D-4045-842F-51673617DEA4}"/>
    <hyperlink ref="D95" r:id="rId49" display="https://scholar.google.com/citations?view_op=view_citation&amp;hl=en&amp;user=8b8IhUYAAAAJ&amp;sortby=pubdate&amp;citation_for_view=8b8IhUYAAAAJ:B3FOqHPlNUQC" xr:uid="{4655ADB8-FEB9-6148-99F7-03736D7EB3B9}"/>
    <hyperlink ref="D96" r:id="rId50" display="https://scholar.google.com/citations?view_op=view_citation&amp;hl=en&amp;user=8b8IhUYAAAAJ&amp;sortby=pubdate&amp;citation_for_view=8b8IhUYAAAAJ:sSrBHYA8nusC" xr:uid="{94FB61E5-5F04-5645-A99F-119289B9E81D}"/>
    <hyperlink ref="D97" r:id="rId51" display="https://scholar.google.com/citations?view_op=view_citation&amp;hl=en&amp;user=8b8IhUYAAAAJ&amp;sortby=pubdate&amp;citation_for_view=8b8IhUYAAAAJ:5Ul4iDaHHb8C" xr:uid="{AC018292-7C41-B947-89FB-2E800209314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 xml:space="preserve"> Learning from Naturally Occurring Feedback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2026-02-09T23:10:14Z</dcterms:modified>
</cp:coreProperties>
</file>